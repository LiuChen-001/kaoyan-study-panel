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考研\考研面板\408专业课\"/>
    </mc:Choice>
  </mc:AlternateContent>
  <xr:revisionPtr revIDLastSave="0" documentId="13_ncr:1_{9A32D653-DE70-446F-821D-E30ED171F621}" xr6:coauthVersionLast="47" xr6:coauthVersionMax="47" xr10:uidLastSave="{00000000-0000-0000-0000-000000000000}"/>
  <bookViews>
    <workbookView xWindow="2150" yWindow="1000" windowWidth="22800" windowHeight="13750" xr2:uid="{00000000-000D-0000-FFFF-FFFF00000000}"/>
  </bookViews>
  <sheets>
    <sheet name="分数面板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1" l="1"/>
  <c r="C57" i="1"/>
  <c r="B57" i="1"/>
  <c r="D57" i="1" s="1"/>
  <c r="C55" i="1"/>
  <c r="B55" i="1"/>
  <c r="D55" i="1" s="1"/>
  <c r="C53" i="1"/>
  <c r="B53" i="1"/>
  <c r="D53" i="1" s="1"/>
  <c r="C51" i="1"/>
  <c r="B51" i="1"/>
  <c r="D51" i="1" s="1"/>
  <c r="C49" i="1"/>
  <c r="B49" i="1"/>
  <c r="D49" i="1" s="1"/>
  <c r="C47" i="1"/>
  <c r="B47" i="1"/>
  <c r="D47" i="1" s="1"/>
  <c r="B45" i="1" s="1"/>
  <c r="D43" i="1"/>
  <c r="C43" i="1"/>
  <c r="B43" i="1"/>
  <c r="C41" i="1"/>
  <c r="B41" i="1"/>
  <c r="D41" i="1" s="1"/>
  <c r="C39" i="1"/>
  <c r="B39" i="1"/>
  <c r="D39" i="1" s="1"/>
  <c r="C37" i="1"/>
  <c r="D37" i="1" s="1"/>
  <c r="B37" i="1"/>
  <c r="C35" i="1"/>
  <c r="D35" i="1" s="1"/>
  <c r="B35" i="1"/>
  <c r="C31" i="1"/>
  <c r="B31" i="1"/>
  <c r="D31" i="1" s="1"/>
  <c r="C29" i="1"/>
  <c r="D29" i="1" s="1"/>
  <c r="B29" i="1"/>
  <c r="C27" i="1"/>
  <c r="D27" i="1" s="1"/>
  <c r="B27" i="1"/>
  <c r="C25" i="1"/>
  <c r="B25" i="1"/>
  <c r="D25" i="1" s="1"/>
  <c r="C23" i="1"/>
  <c r="B23" i="1"/>
  <c r="D23" i="1" s="1"/>
  <c r="C21" i="1"/>
  <c r="B21" i="1"/>
  <c r="D21" i="1" s="1"/>
  <c r="C17" i="1"/>
  <c r="B17" i="1"/>
  <c r="D17" i="1" s="1"/>
  <c r="C15" i="1"/>
  <c r="B15" i="1"/>
  <c r="D15" i="1" s="1"/>
  <c r="C13" i="1"/>
  <c r="B13" i="1"/>
  <c r="D13" i="1" s="1"/>
  <c r="C11" i="1"/>
  <c r="B11" i="1"/>
  <c r="D11" i="1" s="1"/>
  <c r="C9" i="1"/>
  <c r="D9" i="1" s="1"/>
  <c r="B9" i="1"/>
  <c r="D7" i="1"/>
  <c r="C7" i="1"/>
  <c r="B7" i="1"/>
  <c r="D5" i="1"/>
  <c r="C5" i="1"/>
  <c r="B5" i="1"/>
  <c r="B19" i="1" l="1"/>
  <c r="B3" i="1"/>
  <c r="B33" i="1"/>
  <c r="B1" i="1" l="1"/>
</calcChain>
</file>

<file path=xl/sharedStrings.xml><?xml version="1.0" encoding="utf-8"?>
<sst xmlns="http://schemas.openxmlformats.org/spreadsheetml/2006/main" count="943" uniqueCount="306">
  <si>
    <t>408考研面板总分</t>
  </si>
  <si>
    <t>数据结构（30%，45分）</t>
  </si>
  <si>
    <t>总分</t>
  </si>
  <si>
    <t>基本概念</t>
  </si>
  <si>
    <t>小节分数</t>
  </si>
  <si>
    <t>总节点数</t>
  </si>
  <si>
    <t>单节点分数</t>
  </si>
  <si>
    <t>节点</t>
  </si>
  <si>
    <t>数据结构的基本概念</t>
  </si>
  <si>
    <t>算法的基本概念</t>
  </si>
  <si>
    <t>掌握度（0~100）</t>
  </si>
  <si>
    <t>线性表</t>
  </si>
  <si>
    <t>线性表的基本概念</t>
  </si>
  <si>
    <t>线性表的实现：顺序存储</t>
  </si>
  <si>
    <t>线性表的实现：链式存储</t>
  </si>
  <si>
    <t>线性表的应用</t>
  </si>
  <si>
    <t>栈、队列和数组</t>
  </si>
  <si>
    <t>栈和队列的基本概念</t>
  </si>
  <si>
    <t>栈和队列的顺序存储结构</t>
  </si>
  <si>
    <t>栈和队列的链式存储结构</t>
  </si>
  <si>
    <t>多维数组的存储</t>
  </si>
  <si>
    <t>特殊矩阵的压缩存储</t>
  </si>
  <si>
    <t>栈、队列和数组的应用</t>
  </si>
  <si>
    <t>树和二叉树</t>
  </si>
  <si>
    <t>树的基本概念</t>
  </si>
  <si>
    <t>二叉树的定义及其主要特性</t>
  </si>
  <si>
    <t>二叉树的顺序存储结构和链式存储结构</t>
  </si>
  <si>
    <t>二叉树的遍历</t>
  </si>
  <si>
    <t>线索二叉树的基本概念和构造</t>
  </si>
  <si>
    <t>树的存储结构</t>
  </si>
  <si>
    <t>森林与二叉树的转换</t>
  </si>
  <si>
    <t>树和森林的遍历</t>
  </si>
  <si>
    <t>哈夫曼（Huffman）树和哈夫曼编码</t>
  </si>
  <si>
    <t>并查集及其应用</t>
  </si>
  <si>
    <t>堆及其应用</t>
  </si>
  <si>
    <t>图</t>
  </si>
  <si>
    <t>图的基本概念</t>
  </si>
  <si>
    <t>图的存储及基本操作：邻接矩阵</t>
  </si>
  <si>
    <t>图的存储及基本操作：邻接表</t>
  </si>
  <si>
    <t>图的存储及基本操作：邻接多重表、十字链表</t>
  </si>
  <si>
    <t>图的遍历：深度优先搜索</t>
  </si>
  <si>
    <t>图的遍历：广度优先搜索</t>
  </si>
  <si>
    <t>最小（代价）生成树</t>
  </si>
  <si>
    <t>最短路径</t>
  </si>
  <si>
    <t>拓扑排序</t>
  </si>
  <si>
    <t>关键路径</t>
  </si>
  <si>
    <t>查找</t>
  </si>
  <si>
    <t>查找的基本概念</t>
  </si>
  <si>
    <t>顺序查找法</t>
  </si>
  <si>
    <t>分块查找法</t>
  </si>
  <si>
    <t>折半查找法</t>
  </si>
  <si>
    <t>二叉搜索树</t>
  </si>
  <si>
    <t>平衡二叉树</t>
  </si>
  <si>
    <t>红黑树</t>
  </si>
  <si>
    <t>B树及其基本操作、B+树的基本概念</t>
  </si>
  <si>
    <t>散列（Hash）表</t>
  </si>
  <si>
    <t>字符串模式匹配</t>
  </si>
  <si>
    <t>查找算法的分析及应用</t>
  </si>
  <si>
    <t>排序</t>
  </si>
  <si>
    <t>排序的基本概念</t>
  </si>
  <si>
    <t>直接插入排序</t>
  </si>
  <si>
    <t>折半插入排序</t>
  </si>
  <si>
    <t>起泡排序（Bubble Sort）</t>
  </si>
  <si>
    <t>简单选择排序</t>
  </si>
  <si>
    <t>希尔排序（Shell Sort）</t>
  </si>
  <si>
    <t>快速排序</t>
  </si>
  <si>
    <t>堆排序</t>
  </si>
  <si>
    <t>二路归并排序（Merge Sort）</t>
  </si>
  <si>
    <t>基数排序</t>
  </si>
  <si>
    <t>外部排序</t>
  </si>
  <si>
    <t>排序算法的分析与应用</t>
  </si>
  <si>
    <t>计算机组成原理（30%，45分）</t>
  </si>
  <si>
    <t>计算机系统概述</t>
  </si>
  <si>
    <t>计算机系统的基本组成</t>
  </si>
  <si>
    <t>计算机硬件的基本组成</t>
  </si>
  <si>
    <t>计算机软件和硬件的关系</t>
  </si>
  <si>
    <t>计算机系统的工作原理：“存储程序”工作方式，高级语言程序与机器语言程序之间的转换，程序和指令的执行过程</t>
  </si>
  <si>
    <t>计算机性能指标：吞吐量、响应时间；CPU时钟周期、主频、CPI、CPU执行时间；MIPS、MFLOPS、GFLOPS、TFLOPS、PFLOPS、EFLOPS、ZFLOPS</t>
  </si>
  <si>
    <t>数据的表示和运算</t>
  </si>
  <si>
    <t>进位计数制及其数据之间的相互转换</t>
  </si>
  <si>
    <t>定点数的编码表示</t>
  </si>
  <si>
    <t>基本运算部件：加法器，算术逻辑部件（ALU）</t>
  </si>
  <si>
    <t>加/减运算：补码加/减运算器，标志位的生成</t>
  </si>
  <si>
    <t>乘/除运算：乘/除法运算的基本原理，乘法电路和除法电路的基本结构</t>
  </si>
  <si>
    <t>无符号整数的表示和运算</t>
  </si>
  <si>
    <t>带符号整数的表示和运算</t>
  </si>
  <si>
    <t>浮点数的表示：IEEE754标准</t>
  </si>
  <si>
    <t>浮点数的加/减运算</t>
  </si>
  <si>
    <t>存储器层次结构</t>
  </si>
  <si>
    <t>存储器的分类</t>
  </si>
  <si>
    <t>层次化存储器的基本结构</t>
  </si>
  <si>
    <t>SRAM存储器</t>
  </si>
  <si>
    <t>DRAM存储器</t>
  </si>
  <si>
    <t>Flash存储器</t>
  </si>
  <si>
    <t>DRAM芯片和内存条</t>
  </si>
  <si>
    <t>多模块存储器</t>
  </si>
  <si>
    <t>主存和CPU之间的连接</t>
  </si>
  <si>
    <t>磁盘存储器</t>
  </si>
  <si>
    <t>固态硬盘（SSD）</t>
  </si>
  <si>
    <t>Cache的基本原理</t>
  </si>
  <si>
    <t>Cache和主存之间的映射方式</t>
  </si>
  <si>
    <t>Cache中主存块的替换算法</t>
  </si>
  <si>
    <t>Cache写策略</t>
  </si>
  <si>
    <t>虚拟存储器的基本概念</t>
  </si>
  <si>
    <t>页式虚拟存储器：基本原理，页表，地址转换，TLB（快表）</t>
  </si>
  <si>
    <t>段式虚拟存储器的基本原理</t>
  </si>
  <si>
    <t>段页式虚拟存储器的基本原理</t>
  </si>
  <si>
    <t>指令系统</t>
  </si>
  <si>
    <t>指令系统的基本概念</t>
  </si>
  <si>
    <t>指令格式</t>
  </si>
  <si>
    <t>寻址方式</t>
  </si>
  <si>
    <t>数据的对齐和大小端存放方式</t>
  </si>
  <si>
    <t>CISC和RISC的基本概念</t>
  </si>
  <si>
    <t>编译器、汇编器和链接器的基本概念</t>
  </si>
  <si>
    <t>选择结构语句的机器级表示</t>
  </si>
  <si>
    <t>循环结构语句的机器级表示</t>
  </si>
  <si>
    <t>过程（函数）调用对应的机器级表示</t>
  </si>
  <si>
    <t>中央处理器（CPU）</t>
  </si>
  <si>
    <t>指令执行过程</t>
  </si>
  <si>
    <t>数据通路的功能和基本结构</t>
  </si>
  <si>
    <t>控制器的功能和工作原理</t>
  </si>
  <si>
    <t>异常和中断的基本概念</t>
  </si>
  <si>
    <t>异常和中断的分类</t>
  </si>
  <si>
    <t>异常和中断的检测与响应</t>
  </si>
  <si>
    <t>指令流水线的基本概念</t>
  </si>
  <si>
    <t>指令流水线的基本实现</t>
  </si>
  <si>
    <t>结构冒险、数据冒险和控制冒险的处理</t>
  </si>
  <si>
    <t>超标量和动态流水线的基本概念</t>
  </si>
  <si>
    <t>SISD、SIMD、MIMD、向量处理器的基本概念</t>
  </si>
  <si>
    <t>硬件多线程的基本概念</t>
  </si>
  <si>
    <t>多核（multi-core）处理器的基本概念</t>
  </si>
  <si>
    <t>共享内存多处理器（SMP）的基本概念</t>
  </si>
  <si>
    <t>总线和输入输出系统</t>
  </si>
  <si>
    <t>总线的基本概念</t>
  </si>
  <si>
    <t>总线的组成及性能指标</t>
  </si>
  <si>
    <t>总线事务和定时</t>
  </si>
  <si>
    <t>I/O接口的功能和基本结构</t>
  </si>
  <si>
    <t>I/O端口及其编址</t>
  </si>
  <si>
    <t>程序查询方式</t>
  </si>
  <si>
    <t>程序中断方式：中断的基本概念，中断响应过程，中断处理过程，多重中断和中断屏蔽的概念</t>
  </si>
  <si>
    <t>DMA方式：DMA控制器的组成，DMA传送过程</t>
  </si>
  <si>
    <t>操作系统（23.33%，35分）</t>
  </si>
  <si>
    <t>操作系统基础</t>
  </si>
  <si>
    <t>操作系统的基本概念</t>
  </si>
  <si>
    <t>操作系统发展历程</t>
  </si>
  <si>
    <t>CPU运行模式：内核模式，用户模式</t>
  </si>
  <si>
    <t>中断和异常的处理</t>
  </si>
  <si>
    <t>系统调用</t>
  </si>
  <si>
    <t>程序的链接与装入</t>
  </si>
  <si>
    <t>程序运行时内存映像与地址空间</t>
  </si>
  <si>
    <t>操作系统结构：分层，模块化，宏内核，微内核，外核</t>
  </si>
  <si>
    <t>操作系统引导</t>
  </si>
  <si>
    <t>虚拟机</t>
  </si>
  <si>
    <t>进程管理</t>
  </si>
  <si>
    <t>进程与线程的基本概念</t>
  </si>
  <si>
    <t>进程/线程的状态与转换</t>
  </si>
  <si>
    <t>线程的实现：内核支持的线程，线程库支持的线程</t>
  </si>
  <si>
    <t>进程与线程的组织与控制</t>
  </si>
  <si>
    <t>进程间通信：共享内存，消息传递，管道，信号</t>
  </si>
  <si>
    <t>CPU调度的基本概念</t>
  </si>
  <si>
    <t>CPU调度的目标</t>
  </si>
  <si>
    <t>CPU调度的实现：调度器/调度程序（scheduler），调度的时机与调度方式（抢占式/非抢占式），闲逛进程，内核级线程与用户级线程调度</t>
  </si>
  <si>
    <t>CPU调度算法</t>
  </si>
  <si>
    <t>多处理机调度</t>
  </si>
  <si>
    <t>上下文及其切换机制</t>
  </si>
  <si>
    <t>同步与互斥的基本概念</t>
  </si>
  <si>
    <t>同步与互斥的基本实现方法：软件方法，硬件方法</t>
  </si>
  <si>
    <t>锁</t>
  </si>
  <si>
    <t>信号量</t>
  </si>
  <si>
    <t>条件变量</t>
  </si>
  <si>
    <t>经典同步问题：生产者-消费者问题，读者-写者问题，哲学家进餐问题等</t>
  </si>
  <si>
    <t>死锁的基本概念</t>
  </si>
  <si>
    <t>死锁预防</t>
  </si>
  <si>
    <t>死锁避免</t>
  </si>
  <si>
    <t>死锁检测和解除</t>
  </si>
  <si>
    <t>内存管理</t>
  </si>
  <si>
    <t>内存管理的基本概念：逻辑地址空间与物理地址空间，地址变换，内存共享，内存保护，内存分配与回收</t>
  </si>
  <si>
    <t>连续分配管理方式</t>
  </si>
  <si>
    <t>页式管理</t>
  </si>
  <si>
    <t>段式管理</t>
  </si>
  <si>
    <t>段页式管理</t>
  </si>
  <si>
    <t>虚拟内存的基本概念</t>
  </si>
  <si>
    <t>请求页式管理</t>
  </si>
  <si>
    <t>页框分配与回收</t>
  </si>
  <si>
    <t>页置换算法</t>
  </si>
  <si>
    <t>内存映射文件（Memory-Mapped Files）</t>
  </si>
  <si>
    <t>虚拟存储器性能的影响因素及改进方法</t>
  </si>
  <si>
    <t>文件管理</t>
  </si>
  <si>
    <t>文件的基本概念</t>
  </si>
  <si>
    <t>文件元数据和索引节点（inode）</t>
  </si>
  <si>
    <t>文件的操作：建立，删除，打开，关闭，读，写</t>
  </si>
  <si>
    <t>文件的保护</t>
  </si>
  <si>
    <t>文件的逻辑结构</t>
  </si>
  <si>
    <t>文件的物理结构</t>
  </si>
  <si>
    <t>目录的基本概念</t>
  </si>
  <si>
    <t>树形目录</t>
  </si>
  <si>
    <t>目录的操作</t>
  </si>
  <si>
    <t>硬链接和软链接</t>
  </si>
  <si>
    <t>文件系统的全局结构（layout）：文件系统在外存中的结构，文件系统在内存中的结构</t>
  </si>
  <si>
    <t>外存空闲空间管理方法</t>
  </si>
  <si>
    <t>虚拟文件系统</t>
  </si>
  <si>
    <t>文件系统挂载（mounting）</t>
  </si>
  <si>
    <t>输入/输出（I/O）管理</t>
  </si>
  <si>
    <t>设备：设备的基本概念，设备的分类，I/O接口，I/O端口</t>
  </si>
  <si>
    <t>I/O控制方式：轮询方式，中断方式，DMA方式</t>
  </si>
  <si>
    <t>I/O软件层次结构：中断处理程序，驱动程序，设备独立软件，用户层I/O软件</t>
  </si>
  <si>
    <t>输入/输出应用程序接口：字符设备接口，块设备接口，网络设备接口，阻塞/非阻塞I/O</t>
  </si>
  <si>
    <t>缓冲区管理</t>
  </si>
  <si>
    <t>设备分配与回收</t>
  </si>
  <si>
    <t>假脱机技术（SPOOLing）</t>
  </si>
  <si>
    <t>设备驱动程序接口</t>
  </si>
  <si>
    <t>磁盘：磁盘结构，格式化，分区，磁盘调度方法</t>
  </si>
  <si>
    <t>固态硬盘：读写性能特性，磨损均衡</t>
  </si>
  <si>
    <t>计算机网络（16.67%，25分）</t>
  </si>
  <si>
    <t>计算机网络概述</t>
  </si>
  <si>
    <t>计算机网络的定义、组成与功能</t>
  </si>
  <si>
    <t>计算机网络的分类</t>
  </si>
  <si>
    <t>计算机网络主要性能指标</t>
  </si>
  <si>
    <t>计算机网络分层结构</t>
  </si>
  <si>
    <t>计算机网络协议、接口、服务等概念</t>
  </si>
  <si>
    <t>ISO/OSI参考模型和TCP/IP参考模型</t>
  </si>
  <si>
    <t>物理层</t>
  </si>
  <si>
    <t>信道、信号、带宽、码元、波特、速率、信源与信宿等基本概念</t>
  </si>
  <si>
    <t>奈奎斯特定理与香农定理</t>
  </si>
  <si>
    <t>编码与调制</t>
  </si>
  <si>
    <t>电路交换、报文交换与分组交换</t>
  </si>
  <si>
    <t>数据报与虚电路</t>
  </si>
  <si>
    <t>双绞线、同轴电缆、光纤与无线传输介质</t>
  </si>
  <si>
    <t>物理层接口的特性</t>
  </si>
  <si>
    <t>中继器</t>
  </si>
  <si>
    <t>集线器</t>
  </si>
  <si>
    <t>数据链路层</t>
  </si>
  <si>
    <t>数据链路层的功能</t>
  </si>
  <si>
    <t>组帧</t>
  </si>
  <si>
    <t>检错编码</t>
  </si>
  <si>
    <t>纠错编码</t>
  </si>
  <si>
    <t>流量控制、可靠传输与滑动窗口机制</t>
  </si>
  <si>
    <t>停止-等待协议</t>
  </si>
  <si>
    <t>后退N帧协议（GBN）</t>
  </si>
  <si>
    <t>选择重传协议（SR）</t>
  </si>
  <si>
    <t>信道划分：频分多路复用，时分多路复用，波分多路复用，码分复用的概念和基本原理</t>
  </si>
  <si>
    <t>随机访问：ALOHA协议，CSMA协议，CSMA/CD协议，CSMA/CA协议</t>
  </si>
  <si>
    <t>轮询访问：令牌传递协议</t>
  </si>
  <si>
    <t>局域网的基本概念与体系结构</t>
  </si>
  <si>
    <t>以太网与IEEE802.3</t>
  </si>
  <si>
    <t>IEEE802.11无线局域网</t>
  </si>
  <si>
    <t>VLAN基本概念与基本原理</t>
  </si>
  <si>
    <t>广域网的基本概念</t>
  </si>
  <si>
    <t>PPP协议</t>
  </si>
  <si>
    <t>以太网交换机及其工作原理</t>
  </si>
  <si>
    <t>网络层</t>
  </si>
  <si>
    <t>异构网络互连</t>
  </si>
  <si>
    <t>路由与转发</t>
  </si>
  <si>
    <t>SDN基本概念</t>
  </si>
  <si>
    <t>拥塞控制</t>
  </si>
  <si>
    <t>静态路由与动态路由</t>
  </si>
  <si>
    <t>距离-向量路由算法</t>
  </si>
  <si>
    <t>链路状态路由算法</t>
  </si>
  <si>
    <t>层次路由</t>
  </si>
  <si>
    <t>IPv4分组</t>
  </si>
  <si>
    <t>IPv4地址与NAT</t>
  </si>
  <si>
    <t>子网划分、路由聚集、子网掩码与CIDR</t>
  </si>
  <si>
    <t>ARP协议、DHCP协议、ICMP协议</t>
  </si>
  <si>
    <t>IPv6的主要特点</t>
  </si>
  <si>
    <t>IPv6地址</t>
  </si>
  <si>
    <t>自治系统</t>
  </si>
  <si>
    <t>域内路由与域间路由</t>
  </si>
  <si>
    <t>RIP路由协议</t>
  </si>
  <si>
    <t>OSPF路由协议</t>
  </si>
  <si>
    <t>BGP路由协议</t>
  </si>
  <si>
    <t>组播的概念</t>
  </si>
  <si>
    <t>IP组播地址</t>
  </si>
  <si>
    <t>移动IP的概念</t>
  </si>
  <si>
    <t>移动IP通信过程</t>
  </si>
  <si>
    <t>路由器的组成和功能</t>
  </si>
  <si>
    <t>路由表与路由转发</t>
  </si>
  <si>
    <t>传输层</t>
  </si>
  <si>
    <t>传输层的功能</t>
  </si>
  <si>
    <t>传输层寻址与端口</t>
  </si>
  <si>
    <t>无连接服务与面向连接服务</t>
  </si>
  <si>
    <t>UDP数据段</t>
  </si>
  <si>
    <t>UDP校验</t>
  </si>
  <si>
    <t>TCP段</t>
  </si>
  <si>
    <t>TCP连接管理</t>
  </si>
  <si>
    <t>TCP可靠传输</t>
  </si>
  <si>
    <t>TCP流量控制</t>
  </si>
  <si>
    <t>TCP拥塞控制</t>
  </si>
  <si>
    <t>应用层</t>
  </si>
  <si>
    <t>客户/服务器（C/S）模型</t>
  </si>
  <si>
    <t>对等（P2P）模型</t>
  </si>
  <si>
    <t>层次域名空间</t>
  </si>
  <si>
    <t>域名服务器</t>
  </si>
  <si>
    <t>域名解析过程</t>
  </si>
  <si>
    <t>FTP协议的工作原理</t>
  </si>
  <si>
    <t>FTP控制连接与数据连接</t>
  </si>
  <si>
    <t>电子邮件系统的组成结构</t>
  </si>
  <si>
    <t>电子邮件格式与MIME</t>
  </si>
  <si>
    <t>SMTP协议与POP3协议</t>
  </si>
  <si>
    <t>WWW的概念与组成结构</t>
  </si>
  <si>
    <t>HTTP协议</t>
  </si>
  <si>
    <t>年份</t>
  </si>
  <si>
    <t>权重</t>
  </si>
  <si>
    <t>年度得分来源：同目录“考点分布.xlsx”，每题分数在其核心小节间均分。
小节分数为2017—2025年加权平均，显示1位小数；单节点分数显示2位小数，计算保留完整精度。
掌握度按0—100填写；板块总分和面板总分随掌握度自动更新。2016年无真题数据，不参与计算。</t>
  </si>
  <si>
    <t>权重合计</t>
  </si>
  <si>
    <t>小节得分</t>
  </si>
  <si>
    <t>CPU的功能和基本结构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</si>
</sst>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9">
    <font>
      <sz val="11"/>
      <name val="Carlito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9C7FF"/>
      </patternFill>
    </fill>
    <fill>
      <patternFill patternType="solid">
        <fgColor rgb="FF99BEFF"/>
      </patternFill>
    </fill>
    <fill>
      <patternFill patternType="solid">
        <fgColor rgb="FF99DDFF"/>
      </patternFill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solid">
        <fgColor rgb="FFE5F6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0" borderId="0" xfId="1" applyFont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176" fontId="4" fillId="0" borderId="0" xfId="1" applyNumberFormat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C7FF"/>
  </sheetPr>
  <dimension ref="A1:AD70"/>
  <sheetViews>
    <sheetView tabSelected="1" topLeftCell="A10" workbookViewId="0">
      <pane xSplit="5" topLeftCell="F1" activePane="topRight" state="frozen"/>
      <selection pane="topRight" activeCell="F19" sqref="F19"/>
    </sheetView>
  </sheetViews>
  <sheetFormatPr defaultRowHeight="14"/>
  <cols>
    <col min="1" max="1" width="30" customWidth="1"/>
    <col min="2" max="4" width="14" customWidth="1"/>
    <col min="5" max="5" width="22" customWidth="1"/>
    <col min="6" max="30" width="32" customWidth="1"/>
  </cols>
  <sheetData>
    <row r="1" spans="1:30" ht="32" customHeight="1">
      <c r="A1" s="2" t="s">
        <v>0</v>
      </c>
      <c r="B1" s="15">
        <f>SUM(B3,B19,B33,B45)</f>
        <v>0</v>
      </c>
      <c r="C1" s="16"/>
      <c r="D1" s="16"/>
      <c r="E1" s="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2" customHeight="1">
      <c r="A2" s="17" t="s">
        <v>1</v>
      </c>
      <c r="B2" s="17"/>
      <c r="C2" s="17"/>
      <c r="D2" s="17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8" customHeight="1">
      <c r="A3" s="3" t="s">
        <v>2</v>
      </c>
      <c r="B3" s="15">
        <f>SUM(F5:G5)*D5/100+SUM(F7:I7)*D7/100+SUM(F9:K9)*D9/100+SUM(F11:P11)*D11/100+SUM(F13:O13)*D13/100+SUM(F15:P15)*D15/100+SUM(F17:Q17)*D17/100</f>
        <v>0</v>
      </c>
      <c r="C3" s="16"/>
      <c r="D3" s="16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6" customHeight="1">
      <c r="A4" s="18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6" t="s">
        <v>8</v>
      </c>
      <c r="G4" s="6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8" customHeight="1">
      <c r="A5" s="18"/>
      <c r="B5" s="7">
        <f>('2017'!B3*$B$61+'2018'!B3*$B$62+'2019'!B3*$B$63+'2020'!B3*$B$64+'2021'!B3*$B$65+'2022'!B3*$B$66+'2023'!B3*$B$67+'2024'!B3*$B$68+'2025'!B3*$B$69)/SUM($B$61:$B$69)</f>
        <v>2.3149999999999999</v>
      </c>
      <c r="C5" s="8">
        <f>COUNTA(F4:G4)</f>
        <v>2</v>
      </c>
      <c r="D5" s="9">
        <f>B5/C5</f>
        <v>1.1575</v>
      </c>
      <c r="E5" s="4" t="s">
        <v>10</v>
      </c>
      <c r="F5" s="10">
        <v>0</v>
      </c>
      <c r="G5" s="10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6" customHeight="1">
      <c r="A6" s="18" t="s">
        <v>11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12</v>
      </c>
      <c r="G6" s="6" t="s">
        <v>13</v>
      </c>
      <c r="H6" s="6" t="s">
        <v>14</v>
      </c>
      <c r="I6" s="6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8" customHeight="1">
      <c r="A7" s="18"/>
      <c r="B7" s="7">
        <f>('2017'!B5*$B$61+'2018'!B5*$B$62+'2019'!B5*$B$63+'2020'!B5*$B$64+'2021'!B5*$B$65+'2022'!B5*$B$66+'2023'!B5*$B$67+'2024'!B5*$B$68+'2025'!B5*$B$69)/SUM($B$61:$B$69)</f>
        <v>5.88</v>
      </c>
      <c r="C7" s="8">
        <f>COUNTA(F6:I6)</f>
        <v>4</v>
      </c>
      <c r="D7" s="9">
        <f>B7/C7</f>
        <v>1.47</v>
      </c>
      <c r="E7" s="4" t="s">
        <v>10</v>
      </c>
      <c r="F7" s="10">
        <v>0</v>
      </c>
      <c r="G7" s="10">
        <v>0</v>
      </c>
      <c r="H7" s="10">
        <v>0</v>
      </c>
      <c r="I7" s="10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36" customHeight="1">
      <c r="A8" s="18" t="s">
        <v>16</v>
      </c>
      <c r="B8" s="5" t="s">
        <v>4</v>
      </c>
      <c r="C8" s="5" t="s">
        <v>5</v>
      </c>
      <c r="D8" s="5" t="s">
        <v>6</v>
      </c>
      <c r="E8" s="4" t="s">
        <v>7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8" customHeight="1">
      <c r="A9" s="18"/>
      <c r="B9" s="7">
        <f>('2017'!B7*$B$61+'2018'!B7*$B$62+'2019'!B7*$B$63+'2020'!B7*$B$64+'2021'!B7*$B$65+'2022'!B7*$B$66+'2023'!B7*$B$67+'2024'!B7*$B$68+'2025'!B7*$B$69)/SUM($B$61:$B$69)</f>
        <v>3.7899999999999996</v>
      </c>
      <c r="C9" s="8">
        <f>COUNTA(F8:K8)</f>
        <v>6</v>
      </c>
      <c r="D9" s="9">
        <f>B9/C9</f>
        <v>0.6316666666666666</v>
      </c>
      <c r="E9" s="4" t="s">
        <v>10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44" customHeight="1">
      <c r="A10" s="18" t="s">
        <v>23</v>
      </c>
      <c r="B10" s="5" t="s">
        <v>4</v>
      </c>
      <c r="C10" s="5" t="s">
        <v>5</v>
      </c>
      <c r="D10" s="5" t="s">
        <v>6</v>
      </c>
      <c r="E10" s="4" t="s">
        <v>7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  <c r="P10" s="6" t="s">
        <v>34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8" customHeight="1">
      <c r="A11" s="18"/>
      <c r="B11" s="7">
        <f>('2017'!B9*$B$61+'2018'!B9*$B$62+'2019'!B9*$B$63+'2020'!B9*$B$64+'2021'!B9*$B$65+'2022'!B9*$B$66+'2023'!B9*$B$67+'2024'!B9*$B$68+'2025'!B9*$B$69)/SUM($B$61:$B$69)</f>
        <v>9.2525000000000013</v>
      </c>
      <c r="C11" s="8">
        <f>COUNTA(F10:P10)</f>
        <v>11</v>
      </c>
      <c r="D11" s="9">
        <f>B11/C11</f>
        <v>0.84113636363636379</v>
      </c>
      <c r="E11" s="4" t="s">
        <v>10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44" customHeight="1">
      <c r="A12" s="18" t="s">
        <v>35</v>
      </c>
      <c r="B12" s="5" t="s">
        <v>4</v>
      </c>
      <c r="C12" s="5" t="s">
        <v>5</v>
      </c>
      <c r="D12" s="5" t="s">
        <v>6</v>
      </c>
      <c r="E12" s="4" t="s">
        <v>7</v>
      </c>
      <c r="F12" s="6" t="s">
        <v>36</v>
      </c>
      <c r="G12" s="6" t="s">
        <v>37</v>
      </c>
      <c r="H12" s="6" t="s">
        <v>38</v>
      </c>
      <c r="I12" s="6" t="s">
        <v>39</v>
      </c>
      <c r="J12" s="6" t="s">
        <v>40</v>
      </c>
      <c r="K12" s="6" t="s">
        <v>41</v>
      </c>
      <c r="L12" s="6" t="s">
        <v>42</v>
      </c>
      <c r="M12" s="6" t="s">
        <v>43</v>
      </c>
      <c r="N12" s="6" t="s">
        <v>44</v>
      </c>
      <c r="O12" s="6" t="s">
        <v>45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8" customHeight="1">
      <c r="A13" s="18"/>
      <c r="B13" s="7">
        <f>('2017'!B11*$B$61+'2018'!B11*$B$62+'2019'!B11*$B$63+'2020'!B11*$B$64+'2021'!B11*$B$65+'2022'!B11*$B$66+'2023'!B11*$B$67+'2024'!B11*$B$68+'2025'!B11*$B$69)/SUM($B$61:$B$69)</f>
        <v>10.77</v>
      </c>
      <c r="C13" s="8">
        <f>COUNTA(F12:O12)</f>
        <v>10</v>
      </c>
      <c r="D13" s="9">
        <f>B13/C13</f>
        <v>1.077</v>
      </c>
      <c r="E13" s="4" t="s">
        <v>10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44" customHeight="1">
      <c r="A14" s="18" t="s">
        <v>46</v>
      </c>
      <c r="B14" s="5" t="s">
        <v>4</v>
      </c>
      <c r="C14" s="5" t="s">
        <v>5</v>
      </c>
      <c r="D14" s="5" t="s">
        <v>6</v>
      </c>
      <c r="E14" s="4" t="s">
        <v>7</v>
      </c>
      <c r="F14" s="6" t="s">
        <v>47</v>
      </c>
      <c r="G14" s="6" t="s">
        <v>48</v>
      </c>
      <c r="H14" s="6" t="s">
        <v>49</v>
      </c>
      <c r="I14" s="6" t="s">
        <v>50</v>
      </c>
      <c r="J14" s="6" t="s">
        <v>51</v>
      </c>
      <c r="K14" s="6" t="s">
        <v>52</v>
      </c>
      <c r="L14" s="6" t="s">
        <v>53</v>
      </c>
      <c r="M14" s="6" t="s">
        <v>54</v>
      </c>
      <c r="N14" s="6" t="s">
        <v>55</v>
      </c>
      <c r="O14" s="6" t="s">
        <v>56</v>
      </c>
      <c r="P14" s="6" t="s">
        <v>57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8" customHeight="1">
      <c r="A15" s="18"/>
      <c r="B15" s="7">
        <f>('2017'!B13*$B$61+'2018'!B13*$B$62+'2019'!B13*$B$63+'2020'!B13*$B$64+'2021'!B13*$B$65+'2022'!B13*$B$66+'2023'!B13*$B$67+'2024'!B13*$B$68+'2025'!B13*$B$69)/SUM($B$61:$B$69)</f>
        <v>7.2074999999999996</v>
      </c>
      <c r="C15" s="8">
        <f>COUNTA(F14:P14)</f>
        <v>11</v>
      </c>
      <c r="D15" s="9">
        <f>B15/C15</f>
        <v>0.65522727272727266</v>
      </c>
      <c r="E15" s="4" t="s">
        <v>10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36" customHeight="1">
      <c r="A16" s="18" t="s">
        <v>58</v>
      </c>
      <c r="B16" s="5" t="s">
        <v>4</v>
      </c>
      <c r="C16" s="5" t="s">
        <v>5</v>
      </c>
      <c r="D16" s="5" t="s">
        <v>6</v>
      </c>
      <c r="E16" s="4" t="s">
        <v>7</v>
      </c>
      <c r="F16" s="6" t="s">
        <v>59</v>
      </c>
      <c r="G16" s="6" t="s">
        <v>60</v>
      </c>
      <c r="H16" s="6" t="s">
        <v>61</v>
      </c>
      <c r="I16" s="6" t="s">
        <v>62</v>
      </c>
      <c r="J16" s="6" t="s">
        <v>63</v>
      </c>
      <c r="K16" s="6" t="s">
        <v>64</v>
      </c>
      <c r="L16" s="6" t="s">
        <v>65</v>
      </c>
      <c r="M16" s="6" t="s">
        <v>66</v>
      </c>
      <c r="N16" s="6" t="s">
        <v>67</v>
      </c>
      <c r="O16" s="6" t="s">
        <v>68</v>
      </c>
      <c r="P16" s="6" t="s">
        <v>69</v>
      </c>
      <c r="Q16" s="6" t="s">
        <v>70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8" customHeight="1">
      <c r="A17" s="18"/>
      <c r="B17" s="7">
        <f>('2017'!B15*$B$61+'2018'!B15*$B$62+'2019'!B15*$B$63+'2020'!B15*$B$64+'2021'!B15*$B$65+'2022'!B15*$B$66+'2023'!B15*$B$67+'2024'!B15*$B$68+'2025'!B15*$B$69)/SUM($B$61:$B$69)</f>
        <v>5.92</v>
      </c>
      <c r="C17" s="8">
        <f>COUNTA(F16:Q16)</f>
        <v>12</v>
      </c>
      <c r="D17" s="9">
        <f>B17/C17</f>
        <v>0.49333333333333335</v>
      </c>
      <c r="E17" s="4" t="s">
        <v>10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32" customHeight="1">
      <c r="A18" s="17" t="s">
        <v>71</v>
      </c>
      <c r="B18" s="17"/>
      <c r="C18" s="17"/>
      <c r="D18" s="17"/>
      <c r="E18" s="1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8" customHeight="1">
      <c r="A19" s="3" t="s">
        <v>2</v>
      </c>
      <c r="B19" s="15">
        <f>SUM(F21:J21)*D21/100+SUM(F23:N23)*D23/100+SUM(F25:W25)*D25/100+SUM(F27:N27)*D27/100+SUM(F29:T29)*D29/100+SUM(F31:M31)*D31/100</f>
        <v>0</v>
      </c>
      <c r="C19" s="16"/>
      <c r="D19" s="16"/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95" customHeight="1">
      <c r="A20" s="18" t="s">
        <v>72</v>
      </c>
      <c r="B20" s="5" t="s">
        <v>4</v>
      </c>
      <c r="C20" s="5" t="s">
        <v>5</v>
      </c>
      <c r="D20" s="5" t="s">
        <v>6</v>
      </c>
      <c r="E20" s="4" t="s">
        <v>7</v>
      </c>
      <c r="F20" s="6" t="s">
        <v>73</v>
      </c>
      <c r="G20" s="6" t="s">
        <v>74</v>
      </c>
      <c r="H20" s="6" t="s">
        <v>75</v>
      </c>
      <c r="I20" s="6" t="s">
        <v>76</v>
      </c>
      <c r="J20" s="6" t="s">
        <v>77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8" customHeight="1">
      <c r="A21" s="18"/>
      <c r="B21" s="7">
        <f>('2017'!B18*$B$61+'2018'!B18*$B$62+'2019'!B18*$B$63+'2020'!B18*$B$64+'2021'!B18*$B$65+'2022'!B18*$B$66+'2023'!B18*$B$67+'2024'!B18*$B$68+'2025'!B18*$B$69)/SUM($B$61:$B$69)</f>
        <v>1.53</v>
      </c>
      <c r="C21" s="8">
        <f>COUNTA(F20:J20)</f>
        <v>5</v>
      </c>
      <c r="D21" s="9">
        <f>B21/C21</f>
        <v>0.30599999999999999</v>
      </c>
      <c r="E21" s="4" t="s">
        <v>10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61" customHeight="1">
      <c r="A22" s="18" t="s">
        <v>78</v>
      </c>
      <c r="B22" s="5" t="s">
        <v>4</v>
      </c>
      <c r="C22" s="5" t="s">
        <v>5</v>
      </c>
      <c r="D22" s="5" t="s">
        <v>6</v>
      </c>
      <c r="E22" s="4" t="s">
        <v>7</v>
      </c>
      <c r="F22" s="6" t="s">
        <v>79</v>
      </c>
      <c r="G22" s="6" t="s">
        <v>80</v>
      </c>
      <c r="H22" s="6" t="s">
        <v>81</v>
      </c>
      <c r="I22" s="6" t="s">
        <v>82</v>
      </c>
      <c r="J22" s="6" t="s">
        <v>83</v>
      </c>
      <c r="K22" s="6" t="s">
        <v>84</v>
      </c>
      <c r="L22" s="6" t="s">
        <v>85</v>
      </c>
      <c r="M22" s="6" t="s">
        <v>86</v>
      </c>
      <c r="N22" s="6" t="s">
        <v>87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8" customHeight="1">
      <c r="A23" s="18"/>
      <c r="B23" s="7">
        <f>('2017'!B20*$B$61+'2018'!B20*$B$62+'2019'!B20*$B$63+'2020'!B20*$B$64+'2021'!B20*$B$65+'2022'!B20*$B$66+'2023'!B20*$B$67+'2024'!B20*$B$68+'2025'!B20*$B$69)/SUM($B$61:$B$69)</f>
        <v>10.2525</v>
      </c>
      <c r="C23" s="8">
        <f>COUNTA(F22:N22)</f>
        <v>9</v>
      </c>
      <c r="D23" s="9">
        <f>B23/C23</f>
        <v>1.1391666666666667</v>
      </c>
      <c r="E23" s="4" t="s">
        <v>10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44" customHeight="1">
      <c r="A24" s="18" t="s">
        <v>88</v>
      </c>
      <c r="B24" s="5" t="s">
        <v>4</v>
      </c>
      <c r="C24" s="5" t="s">
        <v>5</v>
      </c>
      <c r="D24" s="5" t="s">
        <v>6</v>
      </c>
      <c r="E24" s="4" t="s">
        <v>7</v>
      </c>
      <c r="F24" s="6" t="s">
        <v>89</v>
      </c>
      <c r="G24" s="6" t="s">
        <v>90</v>
      </c>
      <c r="H24" s="6" t="s">
        <v>91</v>
      </c>
      <c r="I24" s="6" t="s">
        <v>92</v>
      </c>
      <c r="J24" s="6" t="s">
        <v>93</v>
      </c>
      <c r="K24" s="6" t="s">
        <v>94</v>
      </c>
      <c r="L24" s="6" t="s">
        <v>95</v>
      </c>
      <c r="M24" s="6" t="s">
        <v>96</v>
      </c>
      <c r="N24" s="6" t="s">
        <v>97</v>
      </c>
      <c r="O24" s="6" t="s">
        <v>98</v>
      </c>
      <c r="P24" s="6" t="s">
        <v>99</v>
      </c>
      <c r="Q24" s="6" t="s">
        <v>100</v>
      </c>
      <c r="R24" s="6" t="s">
        <v>101</v>
      </c>
      <c r="S24" s="6" t="s">
        <v>102</v>
      </c>
      <c r="T24" s="6" t="s">
        <v>103</v>
      </c>
      <c r="U24" s="6" t="s">
        <v>104</v>
      </c>
      <c r="V24" s="6" t="s">
        <v>105</v>
      </c>
      <c r="W24" s="6" t="s">
        <v>106</v>
      </c>
      <c r="X24" s="1"/>
      <c r="Y24" s="1"/>
      <c r="Z24" s="1"/>
      <c r="AA24" s="1"/>
      <c r="AB24" s="1"/>
      <c r="AC24" s="1"/>
      <c r="AD24" s="1"/>
    </row>
    <row r="25" spans="1:30" ht="28" customHeight="1">
      <c r="A25" s="18"/>
      <c r="B25" s="7">
        <f>('2017'!B22*$B$61+'2018'!B22*$B$62+'2019'!B22*$B$63+'2020'!B22*$B$64+'2021'!B22*$B$65+'2022'!B22*$B$66+'2023'!B22*$B$67+'2024'!B22*$B$68+'2025'!B22*$B$69)/SUM($B$61:$B$69)</f>
        <v>11.879999999999999</v>
      </c>
      <c r="C25" s="8">
        <f>COUNTA(F24:W24)</f>
        <v>18</v>
      </c>
      <c r="D25" s="9">
        <f>B25/C25</f>
        <v>0.65999999999999992</v>
      </c>
      <c r="E25" s="4" t="s">
        <v>10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"/>
      <c r="Y25" s="1"/>
      <c r="Z25" s="1"/>
      <c r="AA25" s="1"/>
      <c r="AB25" s="1"/>
      <c r="AC25" s="1"/>
      <c r="AD25" s="1"/>
    </row>
    <row r="26" spans="1:30" ht="44" customHeight="1">
      <c r="A26" s="18" t="s">
        <v>107</v>
      </c>
      <c r="B26" s="5" t="s">
        <v>4</v>
      </c>
      <c r="C26" s="5" t="s">
        <v>5</v>
      </c>
      <c r="D26" s="5" t="s">
        <v>6</v>
      </c>
      <c r="E26" s="4" t="s">
        <v>7</v>
      </c>
      <c r="F26" s="6" t="s">
        <v>108</v>
      </c>
      <c r="G26" s="6" t="s">
        <v>109</v>
      </c>
      <c r="H26" s="6" t="s">
        <v>110</v>
      </c>
      <c r="I26" s="6" t="s">
        <v>111</v>
      </c>
      <c r="J26" s="6" t="s">
        <v>112</v>
      </c>
      <c r="K26" s="6" t="s">
        <v>113</v>
      </c>
      <c r="L26" s="6" t="s">
        <v>114</v>
      </c>
      <c r="M26" s="6" t="s">
        <v>115</v>
      </c>
      <c r="N26" s="6" t="s">
        <v>116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8" customHeight="1">
      <c r="A27" s="18"/>
      <c r="B27" s="7">
        <f>('2017'!B24*$B$61+'2018'!B24*$B$62+'2019'!B24*$B$63+'2020'!B24*$B$64+'2021'!B24*$B$65+'2022'!B24*$B$66+'2023'!B24*$B$67+'2024'!B24*$B$68+'2025'!B24*$B$69)/SUM($B$61:$B$69)</f>
        <v>7.6</v>
      </c>
      <c r="C27" s="8">
        <f>COUNTA(F26:N26)</f>
        <v>9</v>
      </c>
      <c r="D27" s="9">
        <f>B27/C27</f>
        <v>0.84444444444444444</v>
      </c>
      <c r="E27" s="4" t="s">
        <v>10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44" customHeight="1">
      <c r="A28" s="18" t="s">
        <v>117</v>
      </c>
      <c r="B28" s="5" t="s">
        <v>4</v>
      </c>
      <c r="C28" s="5" t="s">
        <v>5</v>
      </c>
      <c r="D28" s="5" t="s">
        <v>6</v>
      </c>
      <c r="E28" s="4" t="s">
        <v>7</v>
      </c>
      <c r="F28" s="6" t="s">
        <v>305</v>
      </c>
      <c r="G28" s="6" t="s">
        <v>118</v>
      </c>
      <c r="H28" s="6" t="s">
        <v>119</v>
      </c>
      <c r="I28" s="6" t="s">
        <v>120</v>
      </c>
      <c r="J28" s="6" t="s">
        <v>121</v>
      </c>
      <c r="K28" s="6" t="s">
        <v>122</v>
      </c>
      <c r="L28" s="6" t="s">
        <v>123</v>
      </c>
      <c r="M28" s="6" t="s">
        <v>124</v>
      </c>
      <c r="N28" s="6" t="s">
        <v>125</v>
      </c>
      <c r="O28" s="6" t="s">
        <v>126</v>
      </c>
      <c r="P28" s="6" t="s">
        <v>127</v>
      </c>
      <c r="Q28" s="6" t="s">
        <v>128</v>
      </c>
      <c r="R28" s="6" t="s">
        <v>129</v>
      </c>
      <c r="S28" s="6" t="s">
        <v>130</v>
      </c>
      <c r="T28" s="6" t="s">
        <v>131</v>
      </c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8" customHeight="1">
      <c r="A29" s="18"/>
      <c r="B29" s="7">
        <f>('2017'!B26*$B$61+'2018'!B26*$B$62+'2019'!B26*$B$63+'2020'!B26*$B$64+'2021'!B26*$B$65+'2022'!B26*$B$66+'2023'!B26*$B$67+'2024'!B26*$B$68+'2025'!B26*$B$69)/SUM($B$61:$B$69)</f>
        <v>7.7925000000000004</v>
      </c>
      <c r="C29" s="8">
        <f>COUNTA(F28:T28)</f>
        <v>15</v>
      </c>
      <c r="D29" s="9">
        <f>B29/C29</f>
        <v>0.51950000000000007</v>
      </c>
      <c r="E29" s="4" t="s">
        <v>10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78" customHeight="1">
      <c r="A30" s="18" t="s">
        <v>132</v>
      </c>
      <c r="B30" s="5" t="s">
        <v>4</v>
      </c>
      <c r="C30" s="5" t="s">
        <v>5</v>
      </c>
      <c r="D30" s="5" t="s">
        <v>6</v>
      </c>
      <c r="E30" s="4" t="s">
        <v>7</v>
      </c>
      <c r="F30" s="6" t="s">
        <v>133</v>
      </c>
      <c r="G30" s="6" t="s">
        <v>134</v>
      </c>
      <c r="H30" s="6" t="s">
        <v>135</v>
      </c>
      <c r="I30" s="6" t="s">
        <v>136</v>
      </c>
      <c r="J30" s="6" t="s">
        <v>137</v>
      </c>
      <c r="K30" s="6" t="s">
        <v>138</v>
      </c>
      <c r="L30" s="6" t="s">
        <v>139</v>
      </c>
      <c r="M30" s="6" t="s">
        <v>140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8" customHeight="1">
      <c r="A31" s="18"/>
      <c r="B31" s="7">
        <f>('2017'!B28*$B$61+'2018'!B28*$B$62+'2019'!B28*$B$63+'2020'!B28*$B$64+'2021'!B28*$B$65+'2022'!B28*$B$66+'2023'!B28*$B$67+'2024'!B28*$B$68+'2025'!B28*$B$69)/SUM($B$61:$B$69)</f>
        <v>5.9450000000000003</v>
      </c>
      <c r="C31" s="8">
        <f>COUNTA(F30:M30)</f>
        <v>8</v>
      </c>
      <c r="D31" s="9">
        <f>B31/C31</f>
        <v>0.74312500000000004</v>
      </c>
      <c r="E31" s="4" t="s">
        <v>10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32" customHeight="1">
      <c r="A32" s="17" t="s">
        <v>141</v>
      </c>
      <c r="B32" s="17"/>
      <c r="C32" s="17"/>
      <c r="D32" s="17"/>
      <c r="E32" s="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8" customHeight="1">
      <c r="A33" s="3" t="s">
        <v>2</v>
      </c>
      <c r="B33" s="15">
        <f>SUM(F35:O35)*D35/100+SUM(F37:Z37)*D37/100+SUM(F39:P39)*D39/100+SUM(F41:S41)*D41/100+SUM(F43:O43)*D43/100</f>
        <v>0</v>
      </c>
      <c r="C33" s="16"/>
      <c r="D33" s="16"/>
      <c r="E33" s="1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44" customHeight="1">
      <c r="A34" s="18" t="s">
        <v>142</v>
      </c>
      <c r="B34" s="5" t="s">
        <v>4</v>
      </c>
      <c r="C34" s="5" t="s">
        <v>5</v>
      </c>
      <c r="D34" s="5" t="s">
        <v>6</v>
      </c>
      <c r="E34" s="4" t="s">
        <v>7</v>
      </c>
      <c r="F34" s="6" t="s">
        <v>143</v>
      </c>
      <c r="G34" s="6" t="s">
        <v>144</v>
      </c>
      <c r="H34" s="6" t="s">
        <v>145</v>
      </c>
      <c r="I34" s="6" t="s">
        <v>146</v>
      </c>
      <c r="J34" s="6" t="s">
        <v>147</v>
      </c>
      <c r="K34" s="6" t="s">
        <v>148</v>
      </c>
      <c r="L34" s="6" t="s">
        <v>149</v>
      </c>
      <c r="M34" s="6" t="s">
        <v>150</v>
      </c>
      <c r="N34" s="6" t="s">
        <v>151</v>
      </c>
      <c r="O34" s="6" t="s">
        <v>152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8" customHeight="1">
      <c r="A35" s="18"/>
      <c r="B35" s="7">
        <f>('2017'!B31*$B$61+'2018'!B31*$B$62+'2019'!B31*$B$63+'2020'!B31*$B$64+'2021'!B31*$B$65+'2022'!B31*$B$66+'2023'!B31*$B$67+'2024'!B31*$B$68+'2025'!B31*$B$69)/SUM($B$61:$B$69)</f>
        <v>5.1025</v>
      </c>
      <c r="C35" s="8">
        <f>COUNTA(F34:O34)</f>
        <v>10</v>
      </c>
      <c r="D35" s="9">
        <f>B35/C35</f>
        <v>0.51024999999999998</v>
      </c>
      <c r="E35" s="4" t="s">
        <v>10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95" customHeight="1">
      <c r="A36" s="18" t="s">
        <v>153</v>
      </c>
      <c r="B36" s="5" t="s">
        <v>4</v>
      </c>
      <c r="C36" s="5" t="s">
        <v>5</v>
      </c>
      <c r="D36" s="5" t="s">
        <v>6</v>
      </c>
      <c r="E36" s="4" t="s">
        <v>7</v>
      </c>
      <c r="F36" s="6" t="s">
        <v>154</v>
      </c>
      <c r="G36" s="6" t="s">
        <v>155</v>
      </c>
      <c r="H36" s="6" t="s">
        <v>156</v>
      </c>
      <c r="I36" s="6" t="s">
        <v>157</v>
      </c>
      <c r="J36" s="6" t="s">
        <v>158</v>
      </c>
      <c r="K36" s="6" t="s">
        <v>159</v>
      </c>
      <c r="L36" s="6" t="s">
        <v>160</v>
      </c>
      <c r="M36" s="6" t="s">
        <v>161</v>
      </c>
      <c r="N36" s="6" t="s">
        <v>162</v>
      </c>
      <c r="O36" s="6" t="s">
        <v>163</v>
      </c>
      <c r="P36" s="6" t="s">
        <v>164</v>
      </c>
      <c r="Q36" s="6" t="s">
        <v>165</v>
      </c>
      <c r="R36" s="6" t="s">
        <v>166</v>
      </c>
      <c r="S36" s="6" t="s">
        <v>167</v>
      </c>
      <c r="T36" s="6" t="s">
        <v>168</v>
      </c>
      <c r="U36" s="6" t="s">
        <v>169</v>
      </c>
      <c r="V36" s="6" t="s">
        <v>170</v>
      </c>
      <c r="W36" s="6" t="s">
        <v>171</v>
      </c>
      <c r="X36" s="6" t="s">
        <v>172</v>
      </c>
      <c r="Y36" s="6" t="s">
        <v>173</v>
      </c>
      <c r="Z36" s="6" t="s">
        <v>174</v>
      </c>
      <c r="AA36" s="1"/>
      <c r="AB36" s="1"/>
      <c r="AC36" s="1"/>
      <c r="AD36" s="1"/>
    </row>
    <row r="37" spans="1:30" ht="28" customHeight="1">
      <c r="A37" s="18"/>
      <c r="B37" s="7">
        <f>('2017'!B33*$B$61+'2018'!B33*$B$62+'2019'!B33*$B$63+'2020'!B33*$B$64+'2021'!B33*$B$65+'2022'!B33*$B$66+'2023'!B33*$B$67+'2024'!B33*$B$68+'2025'!B33*$B$69)/SUM($B$61:$B$69)</f>
        <v>14.389999999999999</v>
      </c>
      <c r="C37" s="8">
        <f>COUNTA(F36:Z36)</f>
        <v>21</v>
      </c>
      <c r="D37" s="9">
        <f>B37/C37</f>
        <v>0.6852380952380952</v>
      </c>
      <c r="E37" s="4" t="s">
        <v>10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"/>
      <c r="AB37" s="1"/>
      <c r="AC37" s="1"/>
      <c r="AD37" s="1"/>
    </row>
    <row r="38" spans="1:30" ht="78" customHeight="1">
      <c r="A38" s="18" t="s">
        <v>175</v>
      </c>
      <c r="B38" s="5" t="s">
        <v>4</v>
      </c>
      <c r="C38" s="5" t="s">
        <v>5</v>
      </c>
      <c r="D38" s="5" t="s">
        <v>6</v>
      </c>
      <c r="E38" s="4" t="s">
        <v>7</v>
      </c>
      <c r="F38" s="6" t="s">
        <v>176</v>
      </c>
      <c r="G38" s="6" t="s">
        <v>177</v>
      </c>
      <c r="H38" s="6" t="s">
        <v>178</v>
      </c>
      <c r="I38" s="6" t="s">
        <v>179</v>
      </c>
      <c r="J38" s="6" t="s">
        <v>180</v>
      </c>
      <c r="K38" s="6" t="s">
        <v>181</v>
      </c>
      <c r="L38" s="6" t="s">
        <v>182</v>
      </c>
      <c r="M38" s="6" t="s">
        <v>183</v>
      </c>
      <c r="N38" s="6" t="s">
        <v>184</v>
      </c>
      <c r="O38" s="6" t="s">
        <v>185</v>
      </c>
      <c r="P38" s="6" t="s">
        <v>186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8" customHeight="1">
      <c r="A39" s="18"/>
      <c r="B39" s="7">
        <f>('2017'!B35*$B$61+'2018'!B35*$B$62+'2019'!B35*$B$63+'2020'!B35*$B$64+'2021'!B35*$B$65+'2022'!B35*$B$66+'2023'!B35*$B$67+'2024'!B35*$B$68+'2025'!B35*$B$69)/SUM($B$61:$B$69)</f>
        <v>6.5600000000000005</v>
      </c>
      <c r="C39" s="8">
        <f>COUNTA(F38:P38)</f>
        <v>11</v>
      </c>
      <c r="D39" s="9">
        <f>B39/C39</f>
        <v>0.59636363636363643</v>
      </c>
      <c r="E39" s="4" t="s">
        <v>10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61" customHeight="1">
      <c r="A40" s="18" t="s">
        <v>187</v>
      </c>
      <c r="B40" s="5" t="s">
        <v>4</v>
      </c>
      <c r="C40" s="5" t="s">
        <v>5</v>
      </c>
      <c r="D40" s="5" t="s">
        <v>6</v>
      </c>
      <c r="E40" s="4" t="s">
        <v>7</v>
      </c>
      <c r="F40" s="6" t="s">
        <v>188</v>
      </c>
      <c r="G40" s="6" t="s">
        <v>189</v>
      </c>
      <c r="H40" s="6" t="s">
        <v>190</v>
      </c>
      <c r="I40" s="6" t="s">
        <v>191</v>
      </c>
      <c r="J40" s="6" t="s">
        <v>192</v>
      </c>
      <c r="K40" s="6" t="s">
        <v>193</v>
      </c>
      <c r="L40" s="6" t="s">
        <v>194</v>
      </c>
      <c r="M40" s="6" t="s">
        <v>195</v>
      </c>
      <c r="N40" s="6" t="s">
        <v>196</v>
      </c>
      <c r="O40" s="6" t="s">
        <v>197</v>
      </c>
      <c r="P40" s="6" t="s">
        <v>198</v>
      </c>
      <c r="Q40" s="6" t="s">
        <v>199</v>
      </c>
      <c r="R40" s="6" t="s">
        <v>200</v>
      </c>
      <c r="S40" s="6" t="s">
        <v>201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8" customHeight="1">
      <c r="A41" s="18"/>
      <c r="B41" s="7">
        <f>('2017'!B37*$B$61+'2018'!B37*$B$62+'2019'!B37*$B$63+'2020'!B37*$B$64+'2021'!B37*$B$65+'2022'!B37*$B$66+'2023'!B37*$B$67+'2024'!B37*$B$68+'2025'!B37*$B$69)/SUM($B$61:$B$69)</f>
        <v>5.0200000000000014</v>
      </c>
      <c r="C41" s="8">
        <f>COUNTA(F40:S40)</f>
        <v>14</v>
      </c>
      <c r="D41" s="9">
        <f>B41/C41</f>
        <v>0.35857142857142865</v>
      </c>
      <c r="E41" s="4" t="s">
        <v>10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61" customHeight="1">
      <c r="A42" s="18" t="s">
        <v>202</v>
      </c>
      <c r="B42" s="5" t="s">
        <v>4</v>
      </c>
      <c r="C42" s="5" t="s">
        <v>5</v>
      </c>
      <c r="D42" s="5" t="s">
        <v>6</v>
      </c>
      <c r="E42" s="4" t="s">
        <v>7</v>
      </c>
      <c r="F42" s="6" t="s">
        <v>203</v>
      </c>
      <c r="G42" s="6" t="s">
        <v>204</v>
      </c>
      <c r="H42" s="6" t="s">
        <v>205</v>
      </c>
      <c r="I42" s="6" t="s">
        <v>206</v>
      </c>
      <c r="J42" s="6" t="s">
        <v>207</v>
      </c>
      <c r="K42" s="6" t="s">
        <v>208</v>
      </c>
      <c r="L42" s="6" t="s">
        <v>209</v>
      </c>
      <c r="M42" s="6" t="s">
        <v>210</v>
      </c>
      <c r="N42" s="6" t="s">
        <v>211</v>
      </c>
      <c r="O42" s="6" t="s">
        <v>212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8" customHeight="1">
      <c r="A43" s="18"/>
      <c r="B43" s="7">
        <f>('2017'!B39*$B$61+'2018'!B39*$B$62+'2019'!B39*$B$63+'2020'!B39*$B$64+'2021'!B39*$B$65+'2022'!B39*$B$66+'2023'!B39*$B$67+'2024'!B39*$B$68+'2025'!B39*$B$69)/SUM($B$61:$B$69)</f>
        <v>3.7925000000000004</v>
      </c>
      <c r="C43" s="8">
        <f>COUNTA(F42:O42)</f>
        <v>10</v>
      </c>
      <c r="D43" s="9">
        <f>B43/C43</f>
        <v>0.37925000000000003</v>
      </c>
      <c r="E43" s="4" t="s">
        <v>10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32" customHeight="1">
      <c r="A44" s="17" t="s">
        <v>213</v>
      </c>
      <c r="B44" s="17"/>
      <c r="C44" s="17"/>
      <c r="D44" s="17"/>
      <c r="E44" s="1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28" customHeight="1">
      <c r="A45" s="3" t="s">
        <v>2</v>
      </c>
      <c r="B45" s="15">
        <f>SUM(F47:K47)*D47/100+SUM(F49:N49)*D49/100+SUM(F51:W51)*D51/100+SUM(F53:AD53)*D53/100+SUM(F55:O55)*D55/100+SUM(F57:Q57)*D57/100</f>
        <v>0</v>
      </c>
      <c r="C45" s="16"/>
      <c r="D45" s="16"/>
      <c r="E45" s="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44" customHeight="1">
      <c r="A46" s="18" t="s">
        <v>214</v>
      </c>
      <c r="B46" s="5" t="s">
        <v>4</v>
      </c>
      <c r="C46" s="5" t="s">
        <v>5</v>
      </c>
      <c r="D46" s="5" t="s">
        <v>6</v>
      </c>
      <c r="E46" s="4" t="s">
        <v>7</v>
      </c>
      <c r="F46" s="6" t="s">
        <v>215</v>
      </c>
      <c r="G46" s="6" t="s">
        <v>216</v>
      </c>
      <c r="H46" s="6" t="s">
        <v>217</v>
      </c>
      <c r="I46" s="6" t="s">
        <v>218</v>
      </c>
      <c r="J46" s="6" t="s">
        <v>219</v>
      </c>
      <c r="K46" s="6" t="s">
        <v>220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28" customHeight="1">
      <c r="A47" s="18"/>
      <c r="B47" s="7">
        <f>('2017'!B42*$B$61+'2018'!B42*$B$62+'2019'!B42*$B$63+'2020'!B42*$B$64+'2021'!B42*$B$65+'2022'!B42*$B$66+'2023'!B42*$B$67+'2024'!B42*$B$68+'2025'!B42*$B$69)/SUM($B$61:$B$69)</f>
        <v>2.2450000000000001</v>
      </c>
      <c r="C47" s="8">
        <f>COUNTA(F46:K46)</f>
        <v>6</v>
      </c>
      <c r="D47" s="9">
        <f>B47/C47</f>
        <v>0.3741666666666667</v>
      </c>
      <c r="E47" s="4" t="s">
        <v>10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61" customHeight="1">
      <c r="A48" s="18" t="s">
        <v>221</v>
      </c>
      <c r="B48" s="5" t="s">
        <v>4</v>
      </c>
      <c r="C48" s="5" t="s">
        <v>5</v>
      </c>
      <c r="D48" s="5" t="s">
        <v>6</v>
      </c>
      <c r="E48" s="4" t="s">
        <v>7</v>
      </c>
      <c r="F48" s="6" t="s">
        <v>222</v>
      </c>
      <c r="G48" s="6" t="s">
        <v>223</v>
      </c>
      <c r="H48" s="6" t="s">
        <v>224</v>
      </c>
      <c r="I48" s="6" t="s">
        <v>225</v>
      </c>
      <c r="J48" s="6" t="s">
        <v>226</v>
      </c>
      <c r="K48" s="6" t="s">
        <v>227</v>
      </c>
      <c r="L48" s="6" t="s">
        <v>228</v>
      </c>
      <c r="M48" s="6" t="s">
        <v>229</v>
      </c>
      <c r="N48" s="6" t="s">
        <v>230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8" customHeight="1">
      <c r="A49" s="18"/>
      <c r="B49" s="7">
        <f>('2017'!B44*$B$61+'2018'!B44*$B$62+'2019'!B44*$B$63+'2020'!B44*$B$64+'2021'!B44*$B$65+'2022'!B44*$B$66+'2023'!B44*$B$67+'2024'!B44*$B$68+'2025'!B44*$B$69)/SUM($B$61:$B$69)</f>
        <v>2.085</v>
      </c>
      <c r="C49" s="8">
        <f>COUNTA(F48:N48)</f>
        <v>9</v>
      </c>
      <c r="D49" s="9">
        <f>B49/C49</f>
        <v>0.23166666666666666</v>
      </c>
      <c r="E49" s="4" t="s">
        <v>10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61" customHeight="1">
      <c r="A50" s="18" t="s">
        <v>231</v>
      </c>
      <c r="B50" s="5" t="s">
        <v>4</v>
      </c>
      <c r="C50" s="5" t="s">
        <v>5</v>
      </c>
      <c r="D50" s="5" t="s">
        <v>6</v>
      </c>
      <c r="E50" s="4" t="s">
        <v>7</v>
      </c>
      <c r="F50" s="6" t="s">
        <v>232</v>
      </c>
      <c r="G50" s="6" t="s">
        <v>233</v>
      </c>
      <c r="H50" s="6" t="s">
        <v>234</v>
      </c>
      <c r="I50" s="6" t="s">
        <v>235</v>
      </c>
      <c r="J50" s="6" t="s">
        <v>236</v>
      </c>
      <c r="K50" s="6" t="s">
        <v>237</v>
      </c>
      <c r="L50" s="6" t="s">
        <v>238</v>
      </c>
      <c r="M50" s="6" t="s">
        <v>239</v>
      </c>
      <c r="N50" s="6" t="s">
        <v>240</v>
      </c>
      <c r="O50" s="6" t="s">
        <v>241</v>
      </c>
      <c r="P50" s="6" t="s">
        <v>242</v>
      </c>
      <c r="Q50" s="6" t="s">
        <v>243</v>
      </c>
      <c r="R50" s="6" t="s">
        <v>244</v>
      </c>
      <c r="S50" s="6" t="s">
        <v>245</v>
      </c>
      <c r="T50" s="6" t="s">
        <v>246</v>
      </c>
      <c r="U50" s="6" t="s">
        <v>247</v>
      </c>
      <c r="V50" s="6" t="s">
        <v>248</v>
      </c>
      <c r="W50" s="6" t="s">
        <v>249</v>
      </c>
      <c r="X50" s="1"/>
      <c r="Y50" s="1"/>
      <c r="Z50" s="1"/>
      <c r="AA50" s="1"/>
      <c r="AB50" s="1"/>
      <c r="AC50" s="1"/>
      <c r="AD50" s="1"/>
    </row>
    <row r="51" spans="1:30" ht="28" customHeight="1">
      <c r="A51" s="18"/>
      <c r="B51" s="7">
        <f>('2017'!B46*$B$61+'2018'!B46*$B$62+'2019'!B46*$B$63+'2020'!B46*$B$64+'2021'!B46*$B$65+'2022'!B46*$B$66+'2023'!B46*$B$67+'2024'!B46*$B$68+'2025'!B46*$B$69)/SUM($B$61:$B$69)</f>
        <v>5.8825000000000003</v>
      </c>
      <c r="C51" s="8">
        <f>COUNTA(F50:W50)</f>
        <v>18</v>
      </c>
      <c r="D51" s="9">
        <f>B51/C51</f>
        <v>0.32680555555555557</v>
      </c>
      <c r="E51" s="4" t="s">
        <v>10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"/>
      <c r="Y51" s="1"/>
      <c r="Z51" s="1"/>
      <c r="AA51" s="1"/>
      <c r="AB51" s="1"/>
      <c r="AC51" s="1"/>
      <c r="AD51" s="1"/>
    </row>
    <row r="52" spans="1:30" ht="44" customHeight="1">
      <c r="A52" s="18" t="s">
        <v>250</v>
      </c>
      <c r="B52" s="5" t="s">
        <v>4</v>
      </c>
      <c r="C52" s="5" t="s">
        <v>5</v>
      </c>
      <c r="D52" s="5" t="s">
        <v>6</v>
      </c>
      <c r="E52" s="4" t="s">
        <v>7</v>
      </c>
      <c r="F52" s="6" t="s">
        <v>251</v>
      </c>
      <c r="G52" s="6" t="s">
        <v>252</v>
      </c>
      <c r="H52" s="6" t="s">
        <v>253</v>
      </c>
      <c r="I52" s="6" t="s">
        <v>254</v>
      </c>
      <c r="J52" s="6" t="s">
        <v>255</v>
      </c>
      <c r="K52" s="6" t="s">
        <v>256</v>
      </c>
      <c r="L52" s="6" t="s">
        <v>257</v>
      </c>
      <c r="M52" s="6" t="s">
        <v>258</v>
      </c>
      <c r="N52" s="6" t="s">
        <v>259</v>
      </c>
      <c r="O52" s="6" t="s">
        <v>260</v>
      </c>
      <c r="P52" s="6" t="s">
        <v>261</v>
      </c>
      <c r="Q52" s="6" t="s">
        <v>262</v>
      </c>
      <c r="R52" s="6" t="s">
        <v>263</v>
      </c>
      <c r="S52" s="6" t="s">
        <v>264</v>
      </c>
      <c r="T52" s="6" t="s">
        <v>265</v>
      </c>
      <c r="U52" s="6" t="s">
        <v>266</v>
      </c>
      <c r="V52" s="6" t="s">
        <v>267</v>
      </c>
      <c r="W52" s="6" t="s">
        <v>268</v>
      </c>
      <c r="X52" s="6" t="s">
        <v>269</v>
      </c>
      <c r="Y52" s="6" t="s">
        <v>270</v>
      </c>
      <c r="Z52" s="6" t="s">
        <v>271</v>
      </c>
      <c r="AA52" s="6" t="s">
        <v>272</v>
      </c>
      <c r="AB52" s="6" t="s">
        <v>273</v>
      </c>
      <c r="AC52" s="6" t="s">
        <v>274</v>
      </c>
      <c r="AD52" s="6" t="s">
        <v>275</v>
      </c>
    </row>
    <row r="53" spans="1:30" ht="28" customHeight="1">
      <c r="A53" s="18"/>
      <c r="B53" s="7">
        <f>('2017'!B48*$B$61+'2018'!B48*$B$62+'2019'!B48*$B$63+'2020'!B48*$B$64+'2021'!B48*$B$65+'2022'!B48*$B$66+'2023'!B48*$B$67+'2024'!B48*$B$68+'2025'!B48*$B$69)/SUM($B$61:$B$69)</f>
        <v>8.3074999999999992</v>
      </c>
      <c r="C53" s="8">
        <f>COUNTA(F52:AD52)</f>
        <v>25</v>
      </c>
      <c r="D53" s="9">
        <f>B53/C53</f>
        <v>0.33229999999999998</v>
      </c>
      <c r="E53" s="4" t="s">
        <v>10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</row>
    <row r="54" spans="1:30" ht="36" customHeight="1">
      <c r="A54" s="18" t="s">
        <v>276</v>
      </c>
      <c r="B54" s="5" t="s">
        <v>4</v>
      </c>
      <c r="C54" s="5" t="s">
        <v>5</v>
      </c>
      <c r="D54" s="5" t="s">
        <v>6</v>
      </c>
      <c r="E54" s="4" t="s">
        <v>7</v>
      </c>
      <c r="F54" s="6" t="s">
        <v>277</v>
      </c>
      <c r="G54" s="6" t="s">
        <v>278</v>
      </c>
      <c r="H54" s="6" t="s">
        <v>279</v>
      </c>
      <c r="I54" s="6" t="s">
        <v>280</v>
      </c>
      <c r="J54" s="6" t="s">
        <v>281</v>
      </c>
      <c r="K54" s="6" t="s">
        <v>282</v>
      </c>
      <c r="L54" s="6" t="s">
        <v>283</v>
      </c>
      <c r="M54" s="6" t="s">
        <v>284</v>
      </c>
      <c r="N54" s="6" t="s">
        <v>285</v>
      </c>
      <c r="O54" s="6" t="s">
        <v>286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8" customHeight="1">
      <c r="A55" s="18"/>
      <c r="B55" s="7">
        <f>('2017'!B50*$B$61+'2018'!B50*$B$62+'2019'!B50*$B$63+'2020'!B50*$B$64+'2021'!B50*$B$65+'2022'!B50*$B$66+'2023'!B50*$B$67+'2024'!B50*$B$68+'2025'!B50*$B$69)/SUM($B$61:$B$69)</f>
        <v>4.46</v>
      </c>
      <c r="C55" s="8">
        <f>COUNTA(F54:O54)</f>
        <v>10</v>
      </c>
      <c r="D55" s="9">
        <f>B55/C55</f>
        <v>0.44600000000000001</v>
      </c>
      <c r="E55" s="4" t="s">
        <v>10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36" customHeight="1">
      <c r="A56" s="18" t="s">
        <v>287</v>
      </c>
      <c r="B56" s="5" t="s">
        <v>4</v>
      </c>
      <c r="C56" s="5" t="s">
        <v>5</v>
      </c>
      <c r="D56" s="5" t="s">
        <v>6</v>
      </c>
      <c r="E56" s="4" t="s">
        <v>7</v>
      </c>
      <c r="F56" s="6" t="s">
        <v>288</v>
      </c>
      <c r="G56" s="6" t="s">
        <v>289</v>
      </c>
      <c r="H56" s="6" t="s">
        <v>290</v>
      </c>
      <c r="I56" s="6" t="s">
        <v>291</v>
      </c>
      <c r="J56" s="6" t="s">
        <v>292</v>
      </c>
      <c r="K56" s="6" t="s">
        <v>293</v>
      </c>
      <c r="L56" s="6" t="s">
        <v>294</v>
      </c>
      <c r="M56" s="6" t="s">
        <v>295</v>
      </c>
      <c r="N56" s="6" t="s">
        <v>296</v>
      </c>
      <c r="O56" s="6" t="s">
        <v>297</v>
      </c>
      <c r="P56" s="6" t="s">
        <v>298</v>
      </c>
      <c r="Q56" s="6" t="s">
        <v>299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8" customHeight="1">
      <c r="A57" s="18"/>
      <c r="B57" s="7">
        <f>('2017'!B52*$B$61+'2018'!B52*$B$62+'2019'!B52*$B$63+'2020'!B52*$B$64+'2021'!B52*$B$65+'2022'!B52*$B$66+'2023'!B52*$B$67+'2024'!B52*$B$68+'2025'!B52*$B$69)/SUM($B$61:$B$69)</f>
        <v>2.02</v>
      </c>
      <c r="C57" s="8">
        <f>COUNTA(F56:Q56)</f>
        <v>12</v>
      </c>
      <c r="D57" s="9">
        <f>B57/C57</f>
        <v>0.16833333333333333</v>
      </c>
      <c r="E57" s="4" t="s">
        <v>10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60" spans="1:30" ht="28" customHeight="1">
      <c r="A60" s="12" t="s">
        <v>300</v>
      </c>
      <c r="B60" s="12" t="s">
        <v>301</v>
      </c>
      <c r="D60" s="19" t="s">
        <v>302</v>
      </c>
      <c r="E60" s="19"/>
      <c r="F60" s="19"/>
      <c r="G60" s="19"/>
    </row>
    <row r="61" spans="1:30" ht="28" customHeight="1">
      <c r="A61" s="14">
        <v>2017</v>
      </c>
      <c r="B61" s="13">
        <v>0.09</v>
      </c>
      <c r="D61" s="19"/>
      <c r="E61" s="19"/>
      <c r="F61" s="19"/>
      <c r="G61" s="19"/>
    </row>
    <row r="62" spans="1:30" ht="28" customHeight="1">
      <c r="A62" s="14">
        <v>2018</v>
      </c>
      <c r="B62" s="13">
        <v>9.5000000000000001E-2</v>
      </c>
      <c r="D62" s="19"/>
      <c r="E62" s="19"/>
      <c r="F62" s="19"/>
      <c r="G62" s="19"/>
    </row>
    <row r="63" spans="1:30" ht="28" customHeight="1">
      <c r="A63" s="14">
        <v>2019</v>
      </c>
      <c r="B63" s="13">
        <v>0.1</v>
      </c>
      <c r="D63" s="19"/>
      <c r="E63" s="19"/>
      <c r="F63" s="19"/>
      <c r="G63" s="19"/>
    </row>
    <row r="64" spans="1:30" ht="28" customHeight="1">
      <c r="A64" s="14">
        <v>2020</v>
      </c>
      <c r="B64" s="13">
        <v>0.105</v>
      </c>
      <c r="D64" s="19"/>
      <c r="E64" s="19"/>
      <c r="F64" s="19"/>
      <c r="G64" s="19"/>
    </row>
    <row r="65" spans="1:2" ht="28" customHeight="1">
      <c r="A65" s="14">
        <v>2021</v>
      </c>
      <c r="B65" s="13">
        <v>0.11</v>
      </c>
    </row>
    <row r="66" spans="1:2" ht="28" customHeight="1">
      <c r="A66" s="14">
        <v>2022</v>
      </c>
      <c r="B66" s="13">
        <v>0.115</v>
      </c>
    </row>
    <row r="67" spans="1:2" ht="28" customHeight="1">
      <c r="A67" s="14">
        <v>2023</v>
      </c>
      <c r="B67" s="13">
        <v>0.12</v>
      </c>
    </row>
    <row r="68" spans="1:2" ht="28" customHeight="1">
      <c r="A68" s="14">
        <v>2024</v>
      </c>
      <c r="B68" s="13">
        <v>0.13</v>
      </c>
    </row>
    <row r="69" spans="1:2" ht="28" customHeight="1">
      <c r="A69" s="14">
        <v>2025</v>
      </c>
      <c r="B69" s="13">
        <v>0.13500000000000001</v>
      </c>
    </row>
    <row r="70" spans="1:2" ht="28" customHeight="1">
      <c r="A70" s="11" t="s">
        <v>303</v>
      </c>
      <c r="B70" s="13">
        <f>SUM(B61:B69)</f>
        <v>1</v>
      </c>
    </row>
  </sheetData>
  <mergeCells count="34">
    <mergeCell ref="A52:A53"/>
    <mergeCell ref="A54:A55"/>
    <mergeCell ref="A56:A57"/>
    <mergeCell ref="D60:G64"/>
    <mergeCell ref="A44:E44"/>
    <mergeCell ref="B45:E45"/>
    <mergeCell ref="A46:A47"/>
    <mergeCell ref="A48:A49"/>
    <mergeCell ref="A50:A51"/>
    <mergeCell ref="A34:A35"/>
    <mergeCell ref="A36:A37"/>
    <mergeCell ref="A38:A39"/>
    <mergeCell ref="A40:A41"/>
    <mergeCell ref="A42:A43"/>
    <mergeCell ref="A26:A27"/>
    <mergeCell ref="A28:A29"/>
    <mergeCell ref="A30:A31"/>
    <mergeCell ref="A32:E32"/>
    <mergeCell ref="B33:E33"/>
    <mergeCell ref="A18:E18"/>
    <mergeCell ref="B19:E19"/>
    <mergeCell ref="A20:A21"/>
    <mergeCell ref="A22:A23"/>
    <mergeCell ref="A24:A25"/>
    <mergeCell ref="A8:A9"/>
    <mergeCell ref="A10:A11"/>
    <mergeCell ref="A12:A13"/>
    <mergeCell ref="A14:A15"/>
    <mergeCell ref="A16:A17"/>
    <mergeCell ref="B1:E1"/>
    <mergeCell ref="A2:E2"/>
    <mergeCell ref="B3:E3"/>
    <mergeCell ref="A4:A5"/>
    <mergeCell ref="A6:A7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4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12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2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6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12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6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4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14.5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12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6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6.5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4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7.5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11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6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6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3.5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4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1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7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6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5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0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2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2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4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15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16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6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0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8.5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8.5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12.5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9.5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6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2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16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9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4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4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5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10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4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0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4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2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4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15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6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14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6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18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9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6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4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7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15.5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6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2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4.5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6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6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7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5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0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2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19.5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4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10.5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4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8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11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6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13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5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8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14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4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7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2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3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6.5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7.5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5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1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2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2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4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6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17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4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10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6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14.5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8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8.5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6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8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14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4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3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6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3.5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3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9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6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1.5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2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11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4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16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6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4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2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0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15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12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4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8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6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2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15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10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6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2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3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5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9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4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4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11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10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4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4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6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6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7.5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9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10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10.5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6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2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16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8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2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7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5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10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4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2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11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6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6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12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6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2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9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17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3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2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12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3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15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6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9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2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0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5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12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2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4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>
        <v>2</v>
      </c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>
        <v>0</v>
      </c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>
        <v>4</v>
      </c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>
        <v>21</v>
      </c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>
        <v>10</v>
      </c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>
        <v>4</v>
      </c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>
        <v>4</v>
      </c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>
        <v>2</v>
      </c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>
        <v>19</v>
      </c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>
        <v>4</v>
      </c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>
        <v>9</v>
      </c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>
        <v>5</v>
      </c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>
        <v>6</v>
      </c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>
        <v>5.5</v>
      </c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>
        <v>13.5</v>
      </c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>
        <v>6</v>
      </c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>
        <v>7</v>
      </c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>
        <v>3</v>
      </c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>
        <v>2</v>
      </c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>
        <v>2</v>
      </c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>
        <v>11</v>
      </c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>
        <v>6</v>
      </c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>
        <v>2</v>
      </c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>
        <v>2</v>
      </c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2"/>
  <sheetViews>
    <sheetView workbookViewId="0"/>
  </sheetViews>
  <sheetFormatPr defaultRowHeight="14"/>
  <cols>
    <col min="1" max="1" width="30" customWidth="1"/>
    <col min="2" max="2" width="16" customWidth="1"/>
  </cols>
  <sheetData>
    <row r="1" spans="1:2" ht="32" customHeight="1">
      <c r="A1" s="17" t="s">
        <v>1</v>
      </c>
      <c r="B1" s="17"/>
    </row>
    <row r="2" spans="1:2" ht="28" customHeight="1">
      <c r="A2" s="18" t="s">
        <v>3</v>
      </c>
      <c r="B2" s="5" t="s">
        <v>304</v>
      </c>
    </row>
    <row r="3" spans="1:2" ht="28" customHeight="1">
      <c r="A3" s="18"/>
      <c r="B3" s="7"/>
    </row>
    <row r="4" spans="1:2" ht="28" customHeight="1">
      <c r="A4" s="18" t="s">
        <v>11</v>
      </c>
      <c r="B4" s="5" t="s">
        <v>304</v>
      </c>
    </row>
    <row r="5" spans="1:2" ht="28" customHeight="1">
      <c r="A5" s="18"/>
      <c r="B5" s="7"/>
    </row>
    <row r="6" spans="1:2" ht="28" customHeight="1">
      <c r="A6" s="18" t="s">
        <v>16</v>
      </c>
      <c r="B6" s="5" t="s">
        <v>304</v>
      </c>
    </row>
    <row r="7" spans="1:2" ht="28" customHeight="1">
      <c r="A7" s="18"/>
      <c r="B7" s="7"/>
    </row>
    <row r="8" spans="1:2" ht="28" customHeight="1">
      <c r="A8" s="18" t="s">
        <v>23</v>
      </c>
      <c r="B8" s="5" t="s">
        <v>304</v>
      </c>
    </row>
    <row r="9" spans="1:2" ht="28" customHeight="1">
      <c r="A9" s="18"/>
      <c r="B9" s="7"/>
    </row>
    <row r="10" spans="1:2" ht="28" customHeight="1">
      <c r="A10" s="18" t="s">
        <v>35</v>
      </c>
      <c r="B10" s="5" t="s">
        <v>304</v>
      </c>
    </row>
    <row r="11" spans="1:2" ht="28" customHeight="1">
      <c r="A11" s="18"/>
      <c r="B11" s="7"/>
    </row>
    <row r="12" spans="1:2" ht="28" customHeight="1">
      <c r="A12" s="18" t="s">
        <v>46</v>
      </c>
      <c r="B12" s="5" t="s">
        <v>304</v>
      </c>
    </row>
    <row r="13" spans="1:2" ht="28" customHeight="1">
      <c r="A13" s="18"/>
      <c r="B13" s="7"/>
    </row>
    <row r="14" spans="1:2" ht="28" customHeight="1">
      <c r="A14" s="18" t="s">
        <v>58</v>
      </c>
      <c r="B14" s="5" t="s">
        <v>304</v>
      </c>
    </row>
    <row r="15" spans="1:2" ht="28" customHeight="1">
      <c r="A15" s="18"/>
      <c r="B15" s="7"/>
    </row>
    <row r="16" spans="1:2" ht="32" customHeight="1">
      <c r="A16" s="17" t="s">
        <v>71</v>
      </c>
      <c r="B16" s="17"/>
    </row>
    <row r="17" spans="1:2" ht="28" customHeight="1">
      <c r="A17" s="18" t="s">
        <v>72</v>
      </c>
      <c r="B17" s="5" t="s">
        <v>304</v>
      </c>
    </row>
    <row r="18" spans="1:2" ht="28" customHeight="1">
      <c r="A18" s="18"/>
      <c r="B18" s="7"/>
    </row>
    <row r="19" spans="1:2" ht="28" customHeight="1">
      <c r="A19" s="18" t="s">
        <v>78</v>
      </c>
      <c r="B19" s="5" t="s">
        <v>304</v>
      </c>
    </row>
    <row r="20" spans="1:2" ht="28" customHeight="1">
      <c r="A20" s="18"/>
      <c r="B20" s="7"/>
    </row>
    <row r="21" spans="1:2" ht="28" customHeight="1">
      <c r="A21" s="18" t="s">
        <v>88</v>
      </c>
      <c r="B21" s="5" t="s">
        <v>304</v>
      </c>
    </row>
    <row r="22" spans="1:2" ht="28" customHeight="1">
      <c r="A22" s="18"/>
      <c r="B22" s="7"/>
    </row>
    <row r="23" spans="1:2" ht="28" customHeight="1">
      <c r="A23" s="18" t="s">
        <v>107</v>
      </c>
      <c r="B23" s="5" t="s">
        <v>304</v>
      </c>
    </row>
    <row r="24" spans="1:2" ht="28" customHeight="1">
      <c r="A24" s="18"/>
      <c r="B24" s="7"/>
    </row>
    <row r="25" spans="1:2" ht="28" customHeight="1">
      <c r="A25" s="18" t="s">
        <v>117</v>
      </c>
      <c r="B25" s="5" t="s">
        <v>304</v>
      </c>
    </row>
    <row r="26" spans="1:2" ht="28" customHeight="1">
      <c r="A26" s="18"/>
      <c r="B26" s="7"/>
    </row>
    <row r="27" spans="1:2" ht="28" customHeight="1">
      <c r="A27" s="18" t="s">
        <v>132</v>
      </c>
      <c r="B27" s="5" t="s">
        <v>304</v>
      </c>
    </row>
    <row r="28" spans="1:2" ht="28" customHeight="1">
      <c r="A28" s="18"/>
      <c r="B28" s="7"/>
    </row>
    <row r="29" spans="1:2" ht="32" customHeight="1">
      <c r="A29" s="17" t="s">
        <v>141</v>
      </c>
      <c r="B29" s="17"/>
    </row>
    <row r="30" spans="1:2" ht="28" customHeight="1">
      <c r="A30" s="18" t="s">
        <v>142</v>
      </c>
      <c r="B30" s="5" t="s">
        <v>304</v>
      </c>
    </row>
    <row r="31" spans="1:2" ht="28" customHeight="1">
      <c r="A31" s="18"/>
      <c r="B31" s="7"/>
    </row>
    <row r="32" spans="1:2" ht="28" customHeight="1">
      <c r="A32" s="18" t="s">
        <v>153</v>
      </c>
      <c r="B32" s="5" t="s">
        <v>304</v>
      </c>
    </row>
    <row r="33" spans="1:2" ht="28" customHeight="1">
      <c r="A33" s="18"/>
      <c r="B33" s="7"/>
    </row>
    <row r="34" spans="1:2" ht="28" customHeight="1">
      <c r="A34" s="18" t="s">
        <v>175</v>
      </c>
      <c r="B34" s="5" t="s">
        <v>304</v>
      </c>
    </row>
    <row r="35" spans="1:2" ht="28" customHeight="1">
      <c r="A35" s="18"/>
      <c r="B35" s="7"/>
    </row>
    <row r="36" spans="1:2" ht="28" customHeight="1">
      <c r="A36" s="18" t="s">
        <v>187</v>
      </c>
      <c r="B36" s="5" t="s">
        <v>304</v>
      </c>
    </row>
    <row r="37" spans="1:2" ht="28" customHeight="1">
      <c r="A37" s="18"/>
      <c r="B37" s="7"/>
    </row>
    <row r="38" spans="1:2" ht="28" customHeight="1">
      <c r="A38" s="18" t="s">
        <v>202</v>
      </c>
      <c r="B38" s="5" t="s">
        <v>304</v>
      </c>
    </row>
    <row r="39" spans="1:2" ht="28" customHeight="1">
      <c r="A39" s="18"/>
      <c r="B39" s="7"/>
    </row>
    <row r="40" spans="1:2" ht="32" customHeight="1">
      <c r="A40" s="17" t="s">
        <v>213</v>
      </c>
      <c r="B40" s="17"/>
    </row>
    <row r="41" spans="1:2" ht="28" customHeight="1">
      <c r="A41" s="18" t="s">
        <v>214</v>
      </c>
      <c r="B41" s="5" t="s">
        <v>304</v>
      </c>
    </row>
    <row r="42" spans="1:2" ht="28" customHeight="1">
      <c r="A42" s="18"/>
      <c r="B42" s="7"/>
    </row>
    <row r="43" spans="1:2" ht="28" customHeight="1">
      <c r="A43" s="18" t="s">
        <v>221</v>
      </c>
      <c r="B43" s="5" t="s">
        <v>304</v>
      </c>
    </row>
    <row r="44" spans="1:2" ht="28" customHeight="1">
      <c r="A44" s="18"/>
      <c r="B44" s="7"/>
    </row>
    <row r="45" spans="1:2" ht="28" customHeight="1">
      <c r="A45" s="18" t="s">
        <v>231</v>
      </c>
      <c r="B45" s="5" t="s">
        <v>304</v>
      </c>
    </row>
    <row r="46" spans="1:2" ht="28" customHeight="1">
      <c r="A46" s="18"/>
      <c r="B46" s="7"/>
    </row>
    <row r="47" spans="1:2" ht="28" customHeight="1">
      <c r="A47" s="18" t="s">
        <v>250</v>
      </c>
      <c r="B47" s="5" t="s">
        <v>304</v>
      </c>
    </row>
    <row r="48" spans="1:2" ht="28" customHeight="1">
      <c r="A48" s="18"/>
      <c r="B48" s="7"/>
    </row>
    <row r="49" spans="1:2" ht="28" customHeight="1">
      <c r="A49" s="18" t="s">
        <v>276</v>
      </c>
      <c r="B49" s="5" t="s">
        <v>304</v>
      </c>
    </row>
    <row r="50" spans="1:2" ht="28" customHeight="1">
      <c r="A50" s="18"/>
      <c r="B50" s="7"/>
    </row>
    <row r="51" spans="1:2" ht="28" customHeight="1">
      <c r="A51" s="18" t="s">
        <v>287</v>
      </c>
      <c r="B51" s="5" t="s">
        <v>304</v>
      </c>
    </row>
    <row r="52" spans="1:2" ht="28" customHeight="1">
      <c r="A52" s="18"/>
      <c r="B52" s="7"/>
    </row>
  </sheetData>
  <mergeCells count="28">
    <mergeCell ref="A47:A48"/>
    <mergeCell ref="A49:A50"/>
    <mergeCell ref="A51:A52"/>
    <mergeCell ref="A38:A39"/>
    <mergeCell ref="A40:B40"/>
    <mergeCell ref="A41:A42"/>
    <mergeCell ref="A43:A44"/>
    <mergeCell ref="A45:A46"/>
    <mergeCell ref="A29:B29"/>
    <mergeCell ref="A30:A31"/>
    <mergeCell ref="A32:A33"/>
    <mergeCell ref="A34:A35"/>
    <mergeCell ref="A36:A37"/>
    <mergeCell ref="A19:A20"/>
    <mergeCell ref="A21:A22"/>
    <mergeCell ref="A23:A24"/>
    <mergeCell ref="A25:A26"/>
    <mergeCell ref="A27:A28"/>
    <mergeCell ref="A10:A11"/>
    <mergeCell ref="A12:A13"/>
    <mergeCell ref="A14:A15"/>
    <mergeCell ref="A16:B16"/>
    <mergeCell ref="A17:A18"/>
    <mergeCell ref="A1:B1"/>
    <mergeCell ref="A2:A3"/>
    <mergeCell ref="A4:A5"/>
    <mergeCell ref="A6:A7"/>
    <mergeCell ref="A8:A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分数面板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liu</cp:lastModifiedBy>
  <dcterms:modified xsi:type="dcterms:W3CDTF">2026-10-01T04:07:54Z</dcterms:modified>
</cp:coreProperties>
</file>