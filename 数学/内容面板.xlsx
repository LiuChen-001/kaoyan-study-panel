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考研\考研面板\数学\"/>
    </mc:Choice>
  </mc:AlternateContent>
  <xr:revisionPtr revIDLastSave="0" documentId="13_ncr:1_{F09FD752-8D20-4E66-B2C1-6678839C34DB}" xr6:coauthVersionLast="47" xr6:coauthVersionMax="47" xr10:uidLastSave="{00000000-0000-0000-0000-000000000000}"/>
  <bookViews>
    <workbookView xWindow="1470" yWindow="1380" windowWidth="22800" windowHeight="13750" xr2:uid="{00000000-000D-0000-FFFF-FFFF00000000}"/>
  </bookViews>
  <sheets>
    <sheet name="分数面板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8" r:id="rId7"/>
    <sheet name="2019" sheetId="7" r:id="rId8"/>
    <sheet name="2018" sheetId="9" r:id="rId9"/>
    <sheet name="2017" sheetId="10" r:id="rId10"/>
    <sheet name="2016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B51" i="1"/>
  <c r="D51" i="1" s="1"/>
  <c r="C49" i="1"/>
  <c r="B49" i="1"/>
  <c r="C47" i="1"/>
  <c r="B47" i="1"/>
  <c r="C45" i="1"/>
  <c r="B45" i="1"/>
  <c r="C43" i="1"/>
  <c r="B43" i="1"/>
  <c r="D43" i="1" s="1"/>
  <c r="C41" i="1"/>
  <c r="B41" i="1"/>
  <c r="C39" i="1"/>
  <c r="B39" i="1"/>
  <c r="C37" i="1"/>
  <c r="B37" i="1"/>
  <c r="D37" i="1" s="1"/>
  <c r="C33" i="1"/>
  <c r="B33" i="1"/>
  <c r="D33" i="1" s="1"/>
  <c r="C31" i="1"/>
  <c r="B31" i="1"/>
  <c r="C29" i="1"/>
  <c r="B29" i="1"/>
  <c r="D29" i="1" s="1"/>
  <c r="C27" i="1"/>
  <c r="B27" i="1"/>
  <c r="C25" i="1"/>
  <c r="B25" i="1"/>
  <c r="D25" i="1" s="1"/>
  <c r="C23" i="1"/>
  <c r="B23" i="1"/>
  <c r="C19" i="1"/>
  <c r="B19" i="1"/>
  <c r="D19" i="1" s="1"/>
  <c r="C17" i="1"/>
  <c r="B17" i="1"/>
  <c r="D17" i="1" s="1"/>
  <c r="C15" i="1"/>
  <c r="B15" i="1"/>
  <c r="C13" i="1"/>
  <c r="B13" i="1"/>
  <c r="D13" i="1" s="1"/>
  <c r="C11" i="1"/>
  <c r="B11" i="1"/>
  <c r="C9" i="1"/>
  <c r="B9" i="1"/>
  <c r="D9" i="1" s="1"/>
  <c r="C7" i="1"/>
  <c r="B7" i="1"/>
  <c r="D7" i="1" s="1"/>
  <c r="C5" i="1"/>
  <c r="B5" i="1"/>
  <c r="D41" i="1" l="1"/>
  <c r="D49" i="1"/>
  <c r="D31" i="1"/>
  <c r="D15" i="1"/>
  <c r="D39" i="1"/>
  <c r="D47" i="1"/>
  <c r="D23" i="1"/>
  <c r="D5" i="1"/>
  <c r="D45" i="1"/>
  <c r="D27" i="1"/>
  <c r="B21" i="1" s="1"/>
  <c r="D11" i="1"/>
  <c r="B3" i="1"/>
  <c r="B1" i="1" s="1"/>
  <c r="B35" i="1" l="1"/>
</calcChain>
</file>

<file path=xl/sharedStrings.xml><?xml version="1.0" encoding="utf-8"?>
<sst xmlns="http://schemas.openxmlformats.org/spreadsheetml/2006/main" count="835" uniqueCount="257">
  <si>
    <t>高等数学（60%，90分）</t>
  </si>
  <si>
    <t>总分</t>
  </si>
  <si>
    <t>函数，极限，连续</t>
  </si>
  <si>
    <t>小节分数</t>
  </si>
  <si>
    <t>总节点数</t>
  </si>
  <si>
    <t>单节点分数</t>
  </si>
  <si>
    <t>节点</t>
  </si>
  <si>
    <t>函数的概念及表示法</t>
  </si>
  <si>
    <t>函数的有界性、单调性、周期性和奇偶性</t>
  </si>
  <si>
    <t>复合函数、反函数、分段函数和隐函数</t>
  </si>
  <si>
    <t>基本初等函数的性质及其图形</t>
  </si>
  <si>
    <t>初等函数</t>
  </si>
  <si>
    <t>函数关系的建立</t>
  </si>
  <si>
    <t>数列极限与函数极限的定义及其性质</t>
  </si>
  <si>
    <t>函数的左极限和右极限</t>
  </si>
  <si>
    <t>无穷小量和无穷大量的概念及其关系</t>
  </si>
  <si>
    <t>无穷小量的性质及无穷小量的比较</t>
  </si>
  <si>
    <t>极限的四则运算</t>
  </si>
  <si>
    <t>极限存在的两个准则：单调有界准则和夹逼准则</t>
  </si>
  <si>
    <t>两个重要极限</t>
  </si>
  <si>
    <t>函数连续的概念</t>
  </si>
  <si>
    <t>函数间断点的类型</t>
  </si>
  <si>
    <t>初等函数的连续性</t>
  </si>
  <si>
    <t>闭区间上连续函数的性质</t>
  </si>
  <si>
    <t>掌握度（0~100）</t>
  </si>
  <si>
    <t>一元函数微分</t>
  </si>
  <si>
    <t>导数和微分的概念</t>
  </si>
  <si>
    <t>导数的几何意义和物理意义</t>
  </si>
  <si>
    <t>函数的可导性与连续性之间的关系</t>
  </si>
  <si>
    <t>平面曲线的切线和法线</t>
  </si>
  <si>
    <t>导数和微分的四则运算</t>
  </si>
  <si>
    <t>基本初等函数的导数</t>
  </si>
  <si>
    <t>复合函数、反函数、隐函数以及参数方程所确定的函数的微分法</t>
  </si>
  <si>
    <t>高阶导数</t>
  </si>
  <si>
    <t>一阶微分形式的不变性</t>
  </si>
  <si>
    <t>微分中值定理</t>
  </si>
  <si>
    <t>洛必达（L’Hospital）法则</t>
  </si>
  <si>
    <t>函数单调性的判别</t>
  </si>
  <si>
    <t>函数的极值</t>
  </si>
  <si>
    <t>函数图形的凹凸性、拐点及渐近线</t>
  </si>
  <si>
    <t>函数图形的描绘</t>
  </si>
  <si>
    <t>函数的最大值与最小值</t>
  </si>
  <si>
    <t>弧微分</t>
  </si>
  <si>
    <t>曲率的概念</t>
  </si>
  <si>
    <t>曲率圆与曲率半径</t>
  </si>
  <si>
    <t>一元函数积分</t>
  </si>
  <si>
    <t>原函数和不定积分的概念</t>
  </si>
  <si>
    <t>不定积分的基本性质</t>
  </si>
  <si>
    <t>基本积分公式</t>
  </si>
  <si>
    <t>定积分的概念和基本性质</t>
  </si>
  <si>
    <t>定积分中值定理</t>
  </si>
  <si>
    <t>积分上限的函数及其导数</t>
  </si>
  <si>
    <t>牛顿-莱布尼茨（Newton-Leibniz）公式</t>
  </si>
  <si>
    <t>不定积分和定积分的换元积分法与分部积分法</t>
  </si>
  <si>
    <t>有理函数、三角函数有理式和简单无理函数的积分</t>
  </si>
  <si>
    <t>反常（广义）积分</t>
  </si>
  <si>
    <t>定积分的应用</t>
  </si>
  <si>
    <t>向量代数与空间解析几何</t>
  </si>
  <si>
    <t>向量的概念</t>
  </si>
  <si>
    <t>向量的线性运算</t>
  </si>
  <si>
    <t>向量的数量积和向量积</t>
  </si>
  <si>
    <t>向量的混合积</t>
  </si>
  <si>
    <t>两向量垂直、平行的条件</t>
  </si>
  <si>
    <t>两向量的夹角</t>
  </si>
  <si>
    <t>向量的坐标表达式及其运算</t>
  </si>
  <si>
    <t>单位向量</t>
  </si>
  <si>
    <t>方向数与方向余弦</t>
  </si>
  <si>
    <t>曲面方程和空间曲线方程的概念</t>
  </si>
  <si>
    <t>平面方程</t>
  </si>
  <si>
    <t>直线方程</t>
  </si>
  <si>
    <t>平面与平面、平面与直线、直线与直线的夹角以及平行、垂直的条件</t>
  </si>
  <si>
    <t>点到平面和点到直线的距离</t>
  </si>
  <si>
    <t>球面</t>
  </si>
  <si>
    <t>柱面</t>
  </si>
  <si>
    <t>旋转曲面</t>
  </si>
  <si>
    <t>常用的二次曲面方程及其图形</t>
  </si>
  <si>
    <t>空间曲线的参数方程和一般方程</t>
  </si>
  <si>
    <t>空间曲线在坐标面上的投影曲线方程</t>
  </si>
  <si>
    <t>多元函数微分</t>
  </si>
  <si>
    <t>多元函数的概念</t>
  </si>
  <si>
    <t>二元函数的几何意义</t>
  </si>
  <si>
    <t>二元函数的极限与连续的概念</t>
  </si>
  <si>
    <t>有界闭区域上多元连续函数的性质</t>
  </si>
  <si>
    <t>多元函数的偏导数和全微分</t>
  </si>
  <si>
    <t>全微分存在的必要条件和充分条件</t>
  </si>
  <si>
    <t>多元复合函数、隐函数的求导法</t>
  </si>
  <si>
    <t>二阶偏导数</t>
  </si>
  <si>
    <t>方向导数和梯度</t>
  </si>
  <si>
    <t>空间曲线的切线和法平面</t>
  </si>
  <si>
    <t>曲面的切平面和法线</t>
  </si>
  <si>
    <t>二元函数的二阶泰勒公式</t>
  </si>
  <si>
    <t>多元函数的极值和条件极值</t>
  </si>
  <si>
    <t>多元函数的最大值、最小值及其简单应用</t>
  </si>
  <si>
    <t>多元函数积分</t>
  </si>
  <si>
    <t>二重积分与三重积分的概念、性质、计算和应用</t>
  </si>
  <si>
    <t>两类曲线积分的概念、性质及计算</t>
  </si>
  <si>
    <t>两类曲线积分的关系</t>
  </si>
  <si>
    <t>格林（Green）公式</t>
  </si>
  <si>
    <t>平面曲线积分与路径无关的条件</t>
  </si>
  <si>
    <t>二元函数全微分的原函数</t>
  </si>
  <si>
    <t>两类曲面积分的概念、性质及计算</t>
  </si>
  <si>
    <t>两类曲面积分的关系</t>
  </si>
  <si>
    <t>高斯（Gauss）公式</t>
  </si>
  <si>
    <t>斯托克斯（Stokes）公式</t>
  </si>
  <si>
    <t>散度、旋度的概念及计算</t>
  </si>
  <si>
    <t>曲线积分和曲面积分的应用</t>
  </si>
  <si>
    <t>无穷级数</t>
  </si>
  <si>
    <t>常数项级数的收敛与发散的概念</t>
  </si>
  <si>
    <t>收敛级数的和的概念</t>
  </si>
  <si>
    <t>级数的基本性质与收敛的必要条件</t>
  </si>
  <si>
    <t>几何级数与p级数及其收敛性</t>
  </si>
  <si>
    <t>正项级数收敛性的判别法</t>
  </si>
  <si>
    <t>交错级数与莱布尼茨定理</t>
  </si>
  <si>
    <t>任意项级数的绝对收敛与条件收敛</t>
  </si>
  <si>
    <t>函数项级数的收敛域与和函数的概念</t>
  </si>
  <si>
    <t>幂级数及其收敛半径、收敛区间（指开区间）和收敛域</t>
  </si>
  <si>
    <t>幂级数的和函数</t>
  </si>
  <si>
    <t>幂级数在其收敛区间内的基本性质</t>
  </si>
  <si>
    <t>简单幂级数的和函数的求法</t>
  </si>
  <si>
    <t>初等函数的幂级数展开式</t>
  </si>
  <si>
    <t>函数的傅里叶（Fourier）系数与傅里叶级数</t>
  </si>
  <si>
    <t>狄利克雷（Dirichlet）定理</t>
  </si>
  <si>
    <t>函数在[-l，l]上的傅里叶级数</t>
  </si>
  <si>
    <t>函数在[0，l]上的正弦级数和余弦级数</t>
  </si>
  <si>
    <t>常微分方程</t>
  </si>
  <si>
    <t>常微分方程的基本概念</t>
  </si>
  <si>
    <t>变量可分离的微分方程</t>
  </si>
  <si>
    <t>齐次微分方程</t>
  </si>
  <si>
    <t>一阶线性微分方程</t>
  </si>
  <si>
    <t>伯努利（Bernoulli）方程</t>
  </si>
  <si>
    <t>全微分方程</t>
  </si>
  <si>
    <t>可用简单的变量代换求解的某些微分方程</t>
  </si>
  <si>
    <t>可降阶的高阶微分方程</t>
  </si>
  <si>
    <t>线性微分方程解的性质及解的结构定理</t>
  </si>
  <si>
    <t>二阶常系数齐次线性微分方程</t>
  </si>
  <si>
    <t>高于二阶的某些常系数齐次线性微分方程</t>
  </si>
  <si>
    <t>简单的二阶常系数非齐次线性微分方程</t>
  </si>
  <si>
    <t>欧拉（Euler）方程</t>
  </si>
  <si>
    <t>微分方程的简单应用</t>
  </si>
  <si>
    <t>线性代数（20%，30分）</t>
  </si>
  <si>
    <t>行列式</t>
  </si>
  <si>
    <t>行列式的概念和基本性质</t>
  </si>
  <si>
    <t>行列式按行（列）展开定理</t>
  </si>
  <si>
    <t>矩阵</t>
  </si>
  <si>
    <t>矩阵的概念</t>
  </si>
  <si>
    <t>矩阵的线性运算</t>
  </si>
  <si>
    <t>矩阵的乘法</t>
  </si>
  <si>
    <t>方阵的幂</t>
  </si>
  <si>
    <t>方阵乘积的行列式</t>
  </si>
  <si>
    <t>矩阵的转置</t>
  </si>
  <si>
    <t>逆矩阵的概念和性质</t>
  </si>
  <si>
    <t>矩阵可逆的充分必要条件</t>
  </si>
  <si>
    <t>伴随矩阵</t>
  </si>
  <si>
    <t>矩阵的初等变换</t>
  </si>
  <si>
    <t>初等矩阵</t>
  </si>
  <si>
    <t>矩阵的秩</t>
  </si>
  <si>
    <t>矩阵的等价</t>
  </si>
  <si>
    <t>分块矩阵及其运算</t>
  </si>
  <si>
    <t>向量</t>
  </si>
  <si>
    <t>向量的线性组合与线性表示</t>
  </si>
  <si>
    <t>向量组的线性相关与线性无关</t>
  </si>
  <si>
    <t>向量组的极大线性无关组</t>
  </si>
  <si>
    <t>等价向量组</t>
  </si>
  <si>
    <t>向量组的秩</t>
  </si>
  <si>
    <t>向量组的秩与矩阵的秩之间的关系</t>
  </si>
  <si>
    <t>向量空间及其相关概念</t>
  </si>
  <si>
    <t>n维向量空间的基变换和坐标变换</t>
  </si>
  <si>
    <t>过渡矩阵</t>
  </si>
  <si>
    <t>向量的内积</t>
  </si>
  <si>
    <t>线性无关向量组的正交规范化方法</t>
  </si>
  <si>
    <t>规范正交基</t>
  </si>
  <si>
    <t>正交矩阵及其性质</t>
  </si>
  <si>
    <t>线性方程组</t>
  </si>
  <si>
    <t>线性方程组的克拉默（Cramer）法则</t>
  </si>
  <si>
    <t>齐次线性方程组有非零解的充分必要条件</t>
  </si>
  <si>
    <t>非齐次线性方程组有解的充分必要条件</t>
  </si>
  <si>
    <t>线性方程组解的性质和解的结构</t>
  </si>
  <si>
    <t>齐次线性方程组的基础解系和通解</t>
  </si>
  <si>
    <t>解空间</t>
  </si>
  <si>
    <t>非齐次线性方程组的通解</t>
  </si>
  <si>
    <t>矩阵的特征值和特征向量</t>
  </si>
  <si>
    <t>矩阵的特征值和特征向量的概念、性质</t>
  </si>
  <si>
    <t>相似变换、相似矩阵的概念及性质</t>
  </si>
  <si>
    <t>矩阵可相似对角化的充分必要条件及相似对角矩阵</t>
  </si>
  <si>
    <t>实对称矩阵的特征值、特征向量及其相似对角矩阵</t>
  </si>
  <si>
    <t>二次型</t>
  </si>
  <si>
    <t>二次型及其矩阵表示</t>
  </si>
  <si>
    <t>合同变换与合同矩阵</t>
  </si>
  <si>
    <t>二次型的秩</t>
  </si>
  <si>
    <t>惯性定理</t>
  </si>
  <si>
    <t>二次型的标准形和规范形</t>
  </si>
  <si>
    <t>用正交变换和配方法化二次型为标准形</t>
  </si>
  <si>
    <t>二次型及其矩阵的正定性</t>
  </si>
  <si>
    <t>概率论（20%，30分）</t>
  </si>
  <si>
    <t>随机事件和概率</t>
  </si>
  <si>
    <t>随机事件与样本空间</t>
  </si>
  <si>
    <t>事件的关系与运算</t>
  </si>
  <si>
    <t>完备事件组</t>
  </si>
  <si>
    <t>概率的概念</t>
  </si>
  <si>
    <t>概率的基本性质</t>
  </si>
  <si>
    <t>古典型概率</t>
  </si>
  <si>
    <t>几何型概率</t>
  </si>
  <si>
    <t>条件概率</t>
  </si>
  <si>
    <t>概率的基本公式</t>
  </si>
  <si>
    <t>事件的独立性</t>
  </si>
  <si>
    <t>独立重复试验</t>
  </si>
  <si>
    <t>随机变量及其分布</t>
  </si>
  <si>
    <t>随机变量</t>
  </si>
  <si>
    <t>随机变量分布函数的概念及其性质</t>
  </si>
  <si>
    <t>离散型随机变量的概率分布</t>
  </si>
  <si>
    <t>连续型随机变量的概率密度</t>
  </si>
  <si>
    <t>常见随机变量的分布</t>
  </si>
  <si>
    <t>随机变量函数的分布</t>
  </si>
  <si>
    <t>多维随机变量及其分布</t>
  </si>
  <si>
    <t>二维离散型随机变量的概率分布、边缘分布和条件分布</t>
  </si>
  <si>
    <t>二维连续型随机变量的概率密度、边缘概率密度和条件密度</t>
  </si>
  <si>
    <t>随机变量的独立性和不相关性</t>
  </si>
  <si>
    <t>常用二维随机变量的分布</t>
  </si>
  <si>
    <t>两个及两个以上随机变量简单函数的分布</t>
  </si>
  <si>
    <t>随机变量的数字特征</t>
  </si>
  <si>
    <t>随机变量的数学期望（均值）、方差、标准差及其性质</t>
  </si>
  <si>
    <t>随机变量函数的数学期望</t>
  </si>
  <si>
    <t>矩、协方差、相关系数及其性质</t>
  </si>
  <si>
    <t>大数定律和中心极限定理</t>
  </si>
  <si>
    <t>切比雪夫（Chebyshev）不等式</t>
  </si>
  <si>
    <t>切比雪夫大数定律</t>
  </si>
  <si>
    <t>伯努利（Bernoulli）大数定律</t>
  </si>
  <si>
    <t>辛钦（Khinchin）大数定律</t>
  </si>
  <si>
    <t>棣莫弗-拉普拉斯（De Moivre-Laplace）定理</t>
  </si>
  <si>
    <t>列维-林德伯格（Levy-Lindeberg）定理</t>
  </si>
  <si>
    <t>数理统计的基本概念</t>
  </si>
  <si>
    <t>总体</t>
  </si>
  <si>
    <t>个体</t>
  </si>
  <si>
    <t>简单随机样本</t>
  </si>
  <si>
    <t>统计量</t>
  </si>
  <si>
    <t>样本均值</t>
  </si>
  <si>
    <t>样本方差和样本矩</t>
  </si>
  <si>
    <t>χ²分布</t>
  </si>
  <si>
    <t>t分布</t>
  </si>
  <si>
    <t>F分布</t>
  </si>
  <si>
    <t>分位数</t>
  </si>
  <si>
    <t>正态总体的常用抽样分布</t>
  </si>
  <si>
    <t>参数估计</t>
  </si>
  <si>
    <t>点估计的概念</t>
  </si>
  <si>
    <t>估计量与估计值</t>
  </si>
  <si>
    <t>矩估计法</t>
  </si>
  <si>
    <t>最大似然估计法</t>
  </si>
  <si>
    <t>估计量的评选标准</t>
  </si>
  <si>
    <t>区间估计的概念</t>
  </si>
  <si>
    <t>单个正态总体的均值和方差的区间估计</t>
  </si>
  <si>
    <t>两个正态总体的均值差和方差比的区间估计</t>
  </si>
  <si>
    <t>假设检验</t>
  </si>
  <si>
    <t>显著性检验</t>
  </si>
  <si>
    <t>假设检验的两类错误</t>
  </si>
  <si>
    <t>单个及两个正态总体的均值和方差的假设检验</t>
  </si>
  <si>
    <t>小节得分</t>
  </si>
  <si>
    <t>数学考研面板总分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</si>
</sst>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>
    <font>
      <sz val="10"/>
      <color theme="1"/>
      <name val="等线"/>
      <family val="2"/>
      <charset val="134"/>
      <scheme val="minor"/>
    </font>
    <font>
      <b/>
      <sz val="11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color theme="1"/>
      <name val="等线"/>
      <family val="2"/>
      <charset val="134"/>
      <scheme val="minor"/>
    </font>
    <font>
      <b/>
      <sz val="10"/>
      <name val="Microsoft YaHei"/>
      <family val="2"/>
      <charset val="134"/>
    </font>
    <font>
      <sz val="10"/>
      <name val="Calibri"/>
    </font>
    <font>
      <b/>
      <sz val="10"/>
      <name val="Calibri"/>
      <family val="2"/>
    </font>
    <font>
      <sz val="10"/>
      <color theme="1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"/>
      <color theme="1"/>
      <name val="等线"/>
      <family val="2"/>
      <charset val="134"/>
      <scheme val="minor"/>
    </font>
    <font>
      <b/>
      <sz val="10"/>
      <name val="Microsoft YaHei"/>
      <family val="3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BEFF"/>
      </patternFill>
    </fill>
    <fill>
      <patternFill patternType="none"/>
    </fill>
    <fill>
      <patternFill patternType="solid">
        <fgColor rgb="FF99DDFF"/>
      </patternFill>
    </fill>
    <fill>
      <patternFill patternType="solid">
        <fgColor rgb="FFC7ECFF"/>
      </patternFill>
    </fill>
    <fill>
      <patternFill patternType="solid">
        <fgColor rgb="FFE5F6FF"/>
      </patternFill>
    </fill>
    <fill>
      <patternFill patternType="none">
        <fgColor auto="1"/>
        <bgColor auto="1"/>
      </patternFill>
    </fill>
    <fill>
      <patternFill patternType="solid">
        <fgColor rgb="FF29C7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>
      <alignment vertical="center"/>
    </xf>
  </cellStyleXfs>
  <cellXfs count="30">
    <xf numFmtId="0" fontId="0" fillId="0" borderId="0" xfId="0" applyBorder="1">
      <alignment vertical="center"/>
    </xf>
    <xf numFmtId="0" fontId="13" fillId="3" borderId="1" xfId="0" applyFont="1" applyFill="1">
      <alignment vertical="center"/>
    </xf>
    <xf numFmtId="0" fontId="1" fillId="4" borderId="1" xfId="0" applyFont="1" applyFill="1" applyAlignment="1">
      <alignment horizontal="center" vertical="center"/>
    </xf>
    <xf numFmtId="0" fontId="2" fillId="0" borderId="1" xfId="0" applyFont="1" applyAlignment="1">
      <alignment horizontal="left" vertical="center"/>
    </xf>
    <xf numFmtId="0" fontId="1" fillId="5" borderId="1" xfId="0" applyFont="1" applyFill="1" applyAlignment="1">
      <alignment horizontal="center" vertical="center"/>
    </xf>
    <xf numFmtId="0" fontId="1" fillId="6" borderId="1" xfId="0" applyFont="1" applyFill="1" applyAlignment="1">
      <alignment horizontal="center" vertical="center"/>
    </xf>
    <xf numFmtId="0" fontId="4" fillId="0" borderId="1" xfId="0" applyFont="1">
      <alignment vertical="center"/>
    </xf>
    <xf numFmtId="0" fontId="5" fillId="7" borderId="1" xfId="0" applyFont="1" applyFill="1">
      <alignment vertical="center"/>
    </xf>
    <xf numFmtId="0" fontId="3" fillId="3" borderId="1" xfId="0" applyFont="1" applyFill="1" applyAlignment="1">
      <alignment horizontal="center" vertical="center"/>
    </xf>
    <xf numFmtId="0" fontId="6" fillId="7" borderId="1" xfId="0" applyFont="1" applyFill="1" applyAlignment="1">
      <alignment horizontal="center" vertical="center"/>
    </xf>
    <xf numFmtId="0" fontId="7" fillId="3" borderId="1" xfId="0" applyFont="1" applyFill="1">
      <alignment vertical="center"/>
    </xf>
    <xf numFmtId="0" fontId="8" fillId="3" borderId="1" xfId="0" applyFont="1" applyFill="1">
      <alignment vertical="center"/>
    </xf>
    <xf numFmtId="176" fontId="9" fillId="0" borderId="1" xfId="0" applyNumberFormat="1" applyFont="1" applyAlignment="1">
      <alignment horizontal="center" vertical="center"/>
    </xf>
    <xf numFmtId="0" fontId="9" fillId="0" borderId="1" xfId="0" applyFont="1" applyAlignment="1">
      <alignment horizontal="center" vertical="center"/>
    </xf>
    <xf numFmtId="0" fontId="7" fillId="0" borderId="1" xfId="0" applyFont="1" applyAlignment="1">
      <alignment horizontal="center" vertical="center"/>
    </xf>
    <xf numFmtId="0" fontId="10" fillId="7" borderId="1" xfId="0" applyFont="1" applyFill="1" applyAlignment="1">
      <alignment horizontal="center" vertical="center"/>
    </xf>
    <xf numFmtId="0" fontId="11" fillId="7" borderId="1" xfId="0" applyFont="1" applyFill="1">
      <alignment vertical="center"/>
    </xf>
    <xf numFmtId="0" fontId="12" fillId="0" borderId="0" xfId="0" applyFont="1" applyBorder="1">
      <alignment vertical="center"/>
    </xf>
    <xf numFmtId="0" fontId="9" fillId="3" borderId="1" xfId="0" applyFont="1" applyFill="1" applyAlignment="1">
      <alignment horizontal="center" vertical="center"/>
    </xf>
    <xf numFmtId="2" fontId="9" fillId="3" borderId="1" xfId="0" applyNumberFormat="1" applyFont="1" applyFill="1" applyAlignment="1">
      <alignment horizontal="center" vertical="center"/>
    </xf>
    <xf numFmtId="0" fontId="1" fillId="5" borderId="1" xfId="0" applyFont="1" applyFill="1" applyAlignment="1">
      <alignment horizontal="center" vertical="center"/>
    </xf>
    <xf numFmtId="0" fontId="13" fillId="0" borderId="1" xfId="0" applyFont="1" applyAlignment="1">
      <alignment vertical="center" wrapText="1"/>
    </xf>
    <xf numFmtId="0" fontId="1" fillId="2" borderId="1" xfId="0" applyFont="1" applyFill="1" applyAlignment="1">
      <alignment horizontal="center" vertical="center"/>
    </xf>
    <xf numFmtId="0" fontId="13" fillId="0" borderId="1" xfId="0" applyFont="1">
      <alignment vertical="center"/>
    </xf>
    <xf numFmtId="2" fontId="2" fillId="0" borderId="1" xfId="0" applyNumberFormat="1" applyFont="1" applyAlignment="1">
      <alignment horizontal="center" vertical="center"/>
    </xf>
    <xf numFmtId="0" fontId="9" fillId="3" borderId="1" xfId="0" applyFont="1" applyFill="1" applyAlignment="1">
      <alignment horizontal="center" vertical="center"/>
    </xf>
    <xf numFmtId="0" fontId="12" fillId="0" borderId="0" xfId="0" applyFont="1" applyBorder="1">
      <alignment vertical="center"/>
    </xf>
    <xf numFmtId="0" fontId="12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8" borderId="1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分数面板"/>
  <dimension ref="A1:Z201"/>
  <sheetViews>
    <sheetView tabSelected="1" topLeftCell="A4" workbookViewId="0">
      <selection activeCell="G6" sqref="G6"/>
    </sheetView>
  </sheetViews>
  <sheetFormatPr defaultColWidth="14.08984375" defaultRowHeight="14.5"/>
  <cols>
    <col min="1" max="1" width="24.7265625" style="17" customWidth="1"/>
    <col min="2" max="4" width="13.7265625" style="18" customWidth="1"/>
    <col min="5" max="6" width="17.7265625" style="17" customWidth="1"/>
    <col min="7" max="26" width="13.7265625" style="17" customWidth="1"/>
  </cols>
  <sheetData>
    <row r="1" spans="1:26" s="28" customFormat="1" ht="30" customHeight="1">
      <c r="A1" s="29" t="s">
        <v>256</v>
      </c>
      <c r="B1" s="24">
        <f>SUM(B3,B21,B35)</f>
        <v>0</v>
      </c>
      <c r="C1" s="24"/>
      <c r="D1" s="24"/>
      <c r="E1" s="24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30" customHeight="1">
      <c r="A2" s="22" t="s">
        <v>0</v>
      </c>
      <c r="B2" s="22"/>
      <c r="C2" s="23"/>
      <c r="D2" s="23"/>
      <c r="E2" s="23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6" ht="22.5" customHeight="1">
      <c r="A3" s="2" t="s">
        <v>1</v>
      </c>
      <c r="B3" s="24">
        <f>SUM(F5:V5)*0.01*D5+SUM(F7:X7)*0.01*D7+SUM(F9:P9)*0.01*D9+SUM(F11:Y11)*0.01*D11+SUM(F13:S13)*0.01*D13+SUM(F15:Q15)*0.01*D15+SUM(F17:V17)*0.01*D17+SUM(F19:S19)*0.01*D19</f>
        <v>0</v>
      </c>
      <c r="C3" s="24"/>
      <c r="D3" s="24"/>
      <c r="E3" s="2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1"/>
      <c r="X3" s="10"/>
      <c r="Y3" s="10"/>
    </row>
    <row r="4" spans="1:26" ht="22.5" customHeight="1">
      <c r="A4" s="20" t="s">
        <v>2</v>
      </c>
      <c r="B4" s="5" t="s">
        <v>3</v>
      </c>
      <c r="C4" s="5" t="s">
        <v>4</v>
      </c>
      <c r="D4" s="5" t="s">
        <v>5</v>
      </c>
      <c r="E4" s="4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11"/>
      <c r="X4" s="10"/>
      <c r="Y4" s="10"/>
    </row>
    <row r="5" spans="1:26" ht="22.5" customHeight="1">
      <c r="A5" s="21"/>
      <c r="B5" s="12">
        <f>ROUND('2017'!B3*10%+'2020'!B3*12.5%+'2021'!B3*13.5%+'2022'!B3*14.5%+'2023'!B3*15.5%+'2024'!B3*16.5%+'2025'!B3*17.5%,1)</f>
        <v>9.1999999999999993</v>
      </c>
      <c r="C5" s="13">
        <f>COUNTA(F4:Y4)</f>
        <v>17</v>
      </c>
      <c r="D5" s="19">
        <f>ROUND(B5/C5,2)</f>
        <v>0.54</v>
      </c>
      <c r="E5" s="4" t="s">
        <v>24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/>
      <c r="X5" s="14"/>
      <c r="Y5" s="14"/>
      <c r="Z5" s="14"/>
    </row>
    <row r="6" spans="1:26" ht="22.5" customHeight="1">
      <c r="A6" s="20" t="s">
        <v>25</v>
      </c>
      <c r="B6" s="5" t="s">
        <v>3</v>
      </c>
      <c r="C6" s="5" t="s">
        <v>4</v>
      </c>
      <c r="D6" s="5" t="s">
        <v>5</v>
      </c>
      <c r="E6" s="4" t="s">
        <v>6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30</v>
      </c>
      <c r="K6" s="3" t="s">
        <v>31</v>
      </c>
      <c r="L6" s="3" t="s">
        <v>32</v>
      </c>
      <c r="M6" s="3" t="s">
        <v>33</v>
      </c>
      <c r="N6" s="3" t="s">
        <v>34</v>
      </c>
      <c r="O6" s="3" t="s">
        <v>35</v>
      </c>
      <c r="P6" s="3" t="s">
        <v>36</v>
      </c>
      <c r="Q6" s="3" t="s">
        <v>37</v>
      </c>
      <c r="R6" s="3" t="s">
        <v>38</v>
      </c>
      <c r="S6" s="3" t="s">
        <v>39</v>
      </c>
      <c r="T6" s="3" t="s">
        <v>40</v>
      </c>
      <c r="U6" s="3" t="s">
        <v>41</v>
      </c>
      <c r="V6" s="3" t="s">
        <v>42</v>
      </c>
      <c r="W6" s="11" t="s">
        <v>43</v>
      </c>
      <c r="X6" s="3" t="s">
        <v>44</v>
      </c>
      <c r="Y6" s="10"/>
    </row>
    <row r="7" spans="1:26" ht="22.5" customHeight="1">
      <c r="A7" s="21"/>
      <c r="B7" s="12">
        <f>ROUND('2017'!B5*10%+'2020'!B5*12.5%+'2021'!B5*13.5%+'2022'!B5*14.5%+'2023'!B5*15.5%+'2024'!B5*16.5%+'2025'!B5*17.5%,1)</f>
        <v>17.600000000000001</v>
      </c>
      <c r="C7" s="13">
        <f>COUNTA(F6:Y6)</f>
        <v>19</v>
      </c>
      <c r="D7" s="19">
        <f>ROUND(B7/C7,2)</f>
        <v>0.93</v>
      </c>
      <c r="E7" s="4" t="s">
        <v>24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0"/>
    </row>
    <row r="8" spans="1:26" ht="22.5" customHeight="1">
      <c r="A8" s="20" t="s">
        <v>45</v>
      </c>
      <c r="B8" s="5" t="s">
        <v>3</v>
      </c>
      <c r="C8" s="5" t="s">
        <v>4</v>
      </c>
      <c r="D8" s="5" t="s">
        <v>5</v>
      </c>
      <c r="E8" s="4" t="s">
        <v>6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50</v>
      </c>
      <c r="K8" s="6" t="s">
        <v>51</v>
      </c>
      <c r="L8" s="6" t="s">
        <v>52</v>
      </c>
      <c r="M8" s="6" t="s">
        <v>53</v>
      </c>
      <c r="N8" s="6" t="s">
        <v>54</v>
      </c>
      <c r="O8" s="6" t="s">
        <v>55</v>
      </c>
      <c r="P8" s="6" t="s">
        <v>56</v>
      </c>
      <c r="Q8" s="10"/>
      <c r="R8" s="10"/>
      <c r="S8" s="10"/>
      <c r="T8" s="10"/>
      <c r="U8" s="10"/>
      <c r="V8" s="10"/>
      <c r="W8" s="10"/>
      <c r="X8" s="10"/>
      <c r="Y8" s="10"/>
    </row>
    <row r="9" spans="1:26" ht="22.5" customHeight="1">
      <c r="A9" s="21"/>
      <c r="B9" s="12">
        <f>ROUND('2017'!B7*10%+'2020'!B7*12.5%+'2021'!B7*13.5%+'2022'!B7*14.5%+'2023'!B7*15.5%+'2024'!B7*16.5%+'2025'!B7*17.5%,1)</f>
        <v>9.6</v>
      </c>
      <c r="C9" s="13">
        <f>COUNTA(F8:Y8)</f>
        <v>11</v>
      </c>
      <c r="D9" s="19">
        <f>ROUND(B9/C9,2)</f>
        <v>0.87</v>
      </c>
      <c r="E9" s="4" t="s">
        <v>24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0"/>
      <c r="R9" s="10"/>
      <c r="S9" s="10"/>
      <c r="T9" s="10"/>
      <c r="U9" s="10"/>
      <c r="V9" s="10"/>
      <c r="W9" s="10"/>
      <c r="X9" s="10"/>
      <c r="Y9" s="10"/>
    </row>
    <row r="10" spans="1:26" ht="22.5" customHeight="1">
      <c r="A10" s="20" t="s">
        <v>57</v>
      </c>
      <c r="B10" s="5" t="s">
        <v>3</v>
      </c>
      <c r="C10" s="5" t="s">
        <v>4</v>
      </c>
      <c r="D10" s="5" t="s">
        <v>5</v>
      </c>
      <c r="E10" s="4" t="s">
        <v>6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  <c r="M10" s="6" t="s">
        <v>65</v>
      </c>
      <c r="N10" s="6" t="s">
        <v>66</v>
      </c>
      <c r="O10" s="6" t="s">
        <v>67</v>
      </c>
      <c r="P10" s="6" t="s">
        <v>68</v>
      </c>
      <c r="Q10" s="6" t="s">
        <v>69</v>
      </c>
      <c r="R10" s="6" t="s">
        <v>70</v>
      </c>
      <c r="S10" s="6" t="s">
        <v>71</v>
      </c>
      <c r="T10" s="6" t="s">
        <v>72</v>
      </c>
      <c r="U10" s="6" t="s">
        <v>73</v>
      </c>
      <c r="V10" s="6" t="s">
        <v>74</v>
      </c>
      <c r="W10" s="6" t="s">
        <v>75</v>
      </c>
      <c r="X10" s="6" t="s">
        <v>76</v>
      </c>
      <c r="Y10" s="6" t="s">
        <v>77</v>
      </c>
      <c r="Z10" s="11"/>
    </row>
    <row r="11" spans="1:26" ht="22.5" customHeight="1">
      <c r="A11" s="21"/>
      <c r="B11" s="12">
        <f>ROUND('2017'!B9*10%+'2020'!B9*12.5%+'2021'!B9*13.5%+'2022'!B9*14.5%+'2023'!B9*15.5%+'2024'!B9*16.5%+'2025'!B9*17.5%,1)</f>
        <v>3.8</v>
      </c>
      <c r="C11" s="13">
        <f>COUNTA(F10:Y10)</f>
        <v>20</v>
      </c>
      <c r="D11" s="19">
        <f>ROUND(B11/C11,2)</f>
        <v>0.19</v>
      </c>
      <c r="E11" s="4" t="s">
        <v>24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</row>
    <row r="12" spans="1:26" ht="22.5" customHeight="1">
      <c r="A12" s="20" t="s">
        <v>78</v>
      </c>
      <c r="B12" s="5" t="s">
        <v>3</v>
      </c>
      <c r="C12" s="5" t="s">
        <v>4</v>
      </c>
      <c r="D12" s="5" t="s">
        <v>5</v>
      </c>
      <c r="E12" s="4" t="s">
        <v>6</v>
      </c>
      <c r="F12" s="6" t="s">
        <v>79</v>
      </c>
      <c r="G12" s="6" t="s">
        <v>80</v>
      </c>
      <c r="H12" s="6" t="s">
        <v>81</v>
      </c>
      <c r="I12" s="6" t="s">
        <v>82</v>
      </c>
      <c r="J12" s="6" t="s">
        <v>83</v>
      </c>
      <c r="K12" s="6" t="s">
        <v>84</v>
      </c>
      <c r="L12" s="6" t="s">
        <v>85</v>
      </c>
      <c r="M12" s="6" t="s">
        <v>86</v>
      </c>
      <c r="N12" s="6" t="s">
        <v>87</v>
      </c>
      <c r="O12" s="6" t="s">
        <v>88</v>
      </c>
      <c r="P12" s="6" t="s">
        <v>89</v>
      </c>
      <c r="Q12" s="6" t="s">
        <v>90</v>
      </c>
      <c r="R12" s="6" t="s">
        <v>91</v>
      </c>
      <c r="S12" s="6" t="s">
        <v>92</v>
      </c>
      <c r="T12" s="11"/>
      <c r="U12" s="10"/>
      <c r="V12" s="10"/>
      <c r="W12" s="10"/>
      <c r="X12" s="10"/>
      <c r="Y12" s="10"/>
    </row>
    <row r="13" spans="1:26" ht="22.5" customHeight="1">
      <c r="A13" s="21"/>
      <c r="B13" s="12">
        <f>ROUND('2017'!B11*10%+'2020'!B11*12.5%+'2021'!B11*13.5%+'2022'!B11*14.5%+'2023'!B11*15.5%+'2024'!B11*16.5%+'2025'!B11*17.5%,1)</f>
        <v>14.2</v>
      </c>
      <c r="C13" s="13">
        <f>COUNTA(F12:Y12)</f>
        <v>14</v>
      </c>
      <c r="D13" s="19">
        <f>ROUND(B13/C13,2)</f>
        <v>1.01</v>
      </c>
      <c r="E13" s="4" t="s">
        <v>24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0"/>
      <c r="U13" s="10"/>
      <c r="V13" s="10"/>
      <c r="W13" s="10"/>
      <c r="X13" s="10"/>
      <c r="Y13" s="10"/>
    </row>
    <row r="14" spans="1:26" ht="22.5" customHeight="1">
      <c r="A14" s="20" t="s">
        <v>93</v>
      </c>
      <c r="B14" s="5" t="s">
        <v>3</v>
      </c>
      <c r="C14" s="5" t="s">
        <v>4</v>
      </c>
      <c r="D14" s="5" t="s">
        <v>5</v>
      </c>
      <c r="E14" s="4" t="s">
        <v>6</v>
      </c>
      <c r="F14" s="6" t="s">
        <v>94</v>
      </c>
      <c r="G14" s="6" t="s">
        <v>95</v>
      </c>
      <c r="H14" s="6" t="s">
        <v>96</v>
      </c>
      <c r="I14" s="6" t="s">
        <v>97</v>
      </c>
      <c r="J14" s="6" t="s">
        <v>98</v>
      </c>
      <c r="K14" s="6" t="s">
        <v>99</v>
      </c>
      <c r="L14" s="6" t="s">
        <v>100</v>
      </c>
      <c r="M14" s="6" t="s">
        <v>101</v>
      </c>
      <c r="N14" s="6" t="s">
        <v>102</v>
      </c>
      <c r="O14" s="6" t="s">
        <v>103</v>
      </c>
      <c r="P14" s="6" t="s">
        <v>104</v>
      </c>
      <c r="Q14" s="6" t="s">
        <v>105</v>
      </c>
      <c r="R14" s="10"/>
      <c r="S14" s="10"/>
      <c r="T14" s="10"/>
      <c r="U14" s="10"/>
      <c r="V14" s="10"/>
      <c r="W14" s="10"/>
      <c r="X14" s="10"/>
      <c r="Y14" s="10"/>
    </row>
    <row r="15" spans="1:26" ht="22.5" customHeight="1">
      <c r="A15" s="21"/>
      <c r="B15" s="12">
        <f>ROUND('2017'!B13*10%+'2020'!B13*12.5%+'2021'!B13*13.5%+'2022'!B13*14.5%+'2023'!B13*15.5%+'2024'!B13*16.5%+'2025'!B13*17.5%,1)</f>
        <v>18</v>
      </c>
      <c r="C15" s="13">
        <f>COUNTA(F14:Y14)</f>
        <v>12</v>
      </c>
      <c r="D15" s="19">
        <f>ROUND(B15/C15,2)</f>
        <v>1.5</v>
      </c>
      <c r="E15" s="4" t="s">
        <v>24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0"/>
      <c r="S15" s="10"/>
      <c r="T15" s="10"/>
      <c r="U15" s="10"/>
      <c r="V15" s="10"/>
      <c r="W15" s="10"/>
      <c r="X15" s="10"/>
      <c r="Y15" s="10"/>
    </row>
    <row r="16" spans="1:26" ht="22.5" customHeight="1">
      <c r="A16" s="20" t="s">
        <v>106</v>
      </c>
      <c r="B16" s="5" t="s">
        <v>3</v>
      </c>
      <c r="C16" s="5" t="s">
        <v>4</v>
      </c>
      <c r="D16" s="5" t="s">
        <v>5</v>
      </c>
      <c r="E16" s="4" t="s">
        <v>6</v>
      </c>
      <c r="F16" s="6" t="s">
        <v>107</v>
      </c>
      <c r="G16" s="6" t="s">
        <v>108</v>
      </c>
      <c r="H16" s="6" t="s">
        <v>109</v>
      </c>
      <c r="I16" s="6" t="s">
        <v>110</v>
      </c>
      <c r="J16" s="6" t="s">
        <v>111</v>
      </c>
      <c r="K16" s="6" t="s">
        <v>112</v>
      </c>
      <c r="L16" s="6" t="s">
        <v>113</v>
      </c>
      <c r="M16" s="6" t="s">
        <v>114</v>
      </c>
      <c r="N16" s="6" t="s">
        <v>115</v>
      </c>
      <c r="O16" s="6" t="s">
        <v>116</v>
      </c>
      <c r="P16" s="6" t="s">
        <v>117</v>
      </c>
      <c r="Q16" s="6" t="s">
        <v>118</v>
      </c>
      <c r="R16" s="6" t="s">
        <v>119</v>
      </c>
      <c r="S16" s="6" t="s">
        <v>120</v>
      </c>
      <c r="T16" s="6" t="s">
        <v>121</v>
      </c>
      <c r="U16" s="6" t="s">
        <v>122</v>
      </c>
      <c r="V16" s="6" t="s">
        <v>123</v>
      </c>
      <c r="W16" s="11"/>
      <c r="X16" s="10"/>
      <c r="Y16" s="10"/>
    </row>
    <row r="17" spans="1:25" ht="22.5" customHeight="1">
      <c r="A17" s="21"/>
      <c r="B17" s="12">
        <f>ROUND('2017'!B15*10%+'2020'!B15*12.5%+'2021'!B15*13.5%+'2022'!B15*14.5%+'2023'!B15*15.5%+'2024'!B15*16.5%+'2025'!B15*17.5%,1)</f>
        <v>8.4</v>
      </c>
      <c r="C17" s="13">
        <f>COUNTA(F16:Y16)</f>
        <v>17</v>
      </c>
      <c r="D17" s="19">
        <f>ROUND(B17/C17,2)</f>
        <v>0.49</v>
      </c>
      <c r="E17" s="4" t="s">
        <v>24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0"/>
      <c r="X17" s="10"/>
      <c r="Y17" s="10"/>
    </row>
    <row r="18" spans="1:25" ht="22.5" customHeight="1">
      <c r="A18" s="20" t="s">
        <v>124</v>
      </c>
      <c r="B18" s="5" t="s">
        <v>3</v>
      </c>
      <c r="C18" s="5" t="s">
        <v>4</v>
      </c>
      <c r="D18" s="5" t="s">
        <v>5</v>
      </c>
      <c r="E18" s="4" t="s">
        <v>6</v>
      </c>
      <c r="F18" s="6" t="s">
        <v>125</v>
      </c>
      <c r="G18" s="6" t="s">
        <v>126</v>
      </c>
      <c r="H18" s="6" t="s">
        <v>127</v>
      </c>
      <c r="I18" s="6" t="s">
        <v>128</v>
      </c>
      <c r="J18" s="6" t="s">
        <v>129</v>
      </c>
      <c r="K18" s="6" t="s">
        <v>130</v>
      </c>
      <c r="L18" s="6" t="s">
        <v>131</v>
      </c>
      <c r="M18" s="6" t="s">
        <v>132</v>
      </c>
      <c r="N18" s="6" t="s">
        <v>133</v>
      </c>
      <c r="O18" s="6" t="s">
        <v>134</v>
      </c>
      <c r="P18" s="6" t="s">
        <v>135</v>
      </c>
      <c r="Q18" s="6" t="s">
        <v>136</v>
      </c>
      <c r="R18" s="6" t="s">
        <v>137</v>
      </c>
      <c r="S18" s="6" t="s">
        <v>138</v>
      </c>
      <c r="T18" s="10"/>
      <c r="U18" s="10"/>
      <c r="V18" s="10"/>
      <c r="W18" s="10"/>
      <c r="X18" s="10"/>
      <c r="Y18" s="10"/>
    </row>
    <row r="19" spans="1:25" ht="22.5" customHeight="1">
      <c r="A19" s="21"/>
      <c r="B19" s="12">
        <f>ROUND('2017'!B17*10%+'2020'!B17*12.5%+'2021'!B17*13.5%+'2022'!B17*14.5%+'2023'!B17*15.5%+'2024'!B17*16.5%+'2025'!B17*17.5%,1)</f>
        <v>5.9</v>
      </c>
      <c r="C19" s="13">
        <f>COUNTA(F18:Y18)</f>
        <v>14</v>
      </c>
      <c r="D19" s="19">
        <f>ROUND(B19/C19,2)</f>
        <v>0.42</v>
      </c>
      <c r="E19" s="4" t="s">
        <v>24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0"/>
      <c r="U19" s="10"/>
      <c r="V19" s="10"/>
      <c r="W19" s="10"/>
      <c r="X19" s="10"/>
      <c r="Y19" s="10"/>
    </row>
    <row r="20" spans="1:25" ht="27" customHeight="1">
      <c r="A20" s="22" t="s">
        <v>139</v>
      </c>
      <c r="B20" s="22"/>
      <c r="C20" s="23"/>
      <c r="D20" s="23"/>
      <c r="E20" s="23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22.5" customHeight="1">
      <c r="A21" s="2" t="s">
        <v>1</v>
      </c>
      <c r="B21" s="24">
        <f>SUM(F23:G23)*0.01*D23+SUM(F25:S25)*0.01*D25+SUM(F27:S27)*0.01*D27+SUM(F29:L29)*0.01*D29+SUM(F31:I31)*0.01*D31+SUM(F33:L33)*0.01*D33</f>
        <v>0</v>
      </c>
      <c r="C21" s="25"/>
      <c r="D21" s="25"/>
      <c r="E21" s="26"/>
      <c r="F21" s="6"/>
      <c r="G21" s="6"/>
      <c r="H21" s="1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22.5" customHeight="1">
      <c r="A22" s="20" t="s">
        <v>140</v>
      </c>
      <c r="B22" s="5" t="s">
        <v>3</v>
      </c>
      <c r="C22" s="5" t="s">
        <v>4</v>
      </c>
      <c r="D22" s="5" t="s">
        <v>5</v>
      </c>
      <c r="E22" s="4" t="s">
        <v>6</v>
      </c>
      <c r="F22" s="6" t="s">
        <v>141</v>
      </c>
      <c r="G22" s="6" t="s">
        <v>142</v>
      </c>
      <c r="H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22.5" customHeight="1">
      <c r="A23" s="21"/>
      <c r="B23" s="12">
        <f>ROUND('2017'!B20*10%+'2020'!B20*12.5%+'2021'!B20*13.5%+'2022'!B20*14.5%+'2023'!B20*15.5%+'2024'!B20*16.5%+'2025'!B20*17.5%,1)</f>
        <v>0.8</v>
      </c>
      <c r="C23" s="13">
        <f>COUNTA(F22:Y22)</f>
        <v>2</v>
      </c>
      <c r="D23" s="19">
        <f>ROUND(B23/C23,2)</f>
        <v>0.4</v>
      </c>
      <c r="E23" s="4" t="s">
        <v>24</v>
      </c>
      <c r="F23" s="14">
        <v>0</v>
      </c>
      <c r="G23" s="14">
        <v>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22.5" customHeight="1">
      <c r="A24" s="20" t="s">
        <v>143</v>
      </c>
      <c r="B24" s="5" t="s">
        <v>3</v>
      </c>
      <c r="C24" s="5" t="s">
        <v>4</v>
      </c>
      <c r="D24" s="5" t="s">
        <v>5</v>
      </c>
      <c r="E24" s="4" t="s">
        <v>6</v>
      </c>
      <c r="F24" s="6" t="s">
        <v>144</v>
      </c>
      <c r="G24" s="6" t="s">
        <v>145</v>
      </c>
      <c r="H24" s="6" t="s">
        <v>146</v>
      </c>
      <c r="I24" s="6" t="s">
        <v>147</v>
      </c>
      <c r="J24" s="6" t="s">
        <v>148</v>
      </c>
      <c r="K24" s="6" t="s">
        <v>149</v>
      </c>
      <c r="L24" s="6" t="s">
        <v>150</v>
      </c>
      <c r="M24" s="6" t="s">
        <v>151</v>
      </c>
      <c r="N24" s="6" t="s">
        <v>152</v>
      </c>
      <c r="O24" s="6" t="s">
        <v>153</v>
      </c>
      <c r="P24" s="6" t="s">
        <v>154</v>
      </c>
      <c r="Q24" s="6" t="s">
        <v>155</v>
      </c>
      <c r="R24" s="6" t="s">
        <v>156</v>
      </c>
      <c r="S24" s="6" t="s">
        <v>157</v>
      </c>
      <c r="T24" s="10"/>
      <c r="U24" s="10"/>
      <c r="V24" s="10"/>
      <c r="W24" s="10"/>
      <c r="X24" s="10"/>
      <c r="Y24" s="10"/>
    </row>
    <row r="25" spans="1:25" ht="22.5" customHeight="1">
      <c r="A25" s="21"/>
      <c r="B25" s="12">
        <f>ROUND('2017'!B22*10%+'2020'!B22*12.5%+'2021'!B22*13.5%+'2022'!B22*14.5%+'2023'!B22*15.5%+'2024'!B22*16.5%+'2025'!B22*17.5%,1)</f>
        <v>7.1</v>
      </c>
      <c r="C25" s="13">
        <f>COUNTA(F24:Y24)</f>
        <v>14</v>
      </c>
      <c r="D25" s="19">
        <f>ROUND(B25/C25,2)</f>
        <v>0.51</v>
      </c>
      <c r="E25" s="4" t="s">
        <v>24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0"/>
      <c r="U25" s="10"/>
      <c r="V25" s="10"/>
      <c r="W25" s="10"/>
      <c r="X25" s="10"/>
      <c r="Y25" s="10"/>
    </row>
    <row r="26" spans="1:25" ht="22.5" customHeight="1">
      <c r="A26" s="20" t="s">
        <v>158</v>
      </c>
      <c r="B26" s="5" t="s">
        <v>3</v>
      </c>
      <c r="C26" s="5" t="s">
        <v>4</v>
      </c>
      <c r="D26" s="5" t="s">
        <v>5</v>
      </c>
      <c r="E26" s="4" t="s">
        <v>6</v>
      </c>
      <c r="F26" s="6" t="s">
        <v>58</v>
      </c>
      <c r="G26" s="6" t="s">
        <v>159</v>
      </c>
      <c r="H26" s="6" t="s">
        <v>160</v>
      </c>
      <c r="I26" s="6" t="s">
        <v>161</v>
      </c>
      <c r="J26" s="6" t="s">
        <v>162</v>
      </c>
      <c r="K26" s="6" t="s">
        <v>163</v>
      </c>
      <c r="L26" s="6" t="s">
        <v>164</v>
      </c>
      <c r="M26" s="6" t="s">
        <v>165</v>
      </c>
      <c r="N26" s="6" t="s">
        <v>166</v>
      </c>
      <c r="O26" s="6" t="s">
        <v>167</v>
      </c>
      <c r="P26" s="6" t="s">
        <v>168</v>
      </c>
      <c r="Q26" s="6" t="s">
        <v>169</v>
      </c>
      <c r="R26" s="6" t="s">
        <v>170</v>
      </c>
      <c r="S26" s="6" t="s">
        <v>171</v>
      </c>
      <c r="T26" s="10"/>
      <c r="U26" s="10"/>
      <c r="V26" s="10"/>
      <c r="W26" s="10"/>
      <c r="X26" s="10"/>
      <c r="Y26" s="10"/>
    </row>
    <row r="27" spans="1:25" ht="22.5" customHeight="1">
      <c r="A27" s="21"/>
      <c r="B27" s="12">
        <f>ROUND('2017'!B24*10%+'2020'!B24*12.5%+'2021'!B24*13.5%+'2022'!B24*14.5%+'2023'!B24*15.5%+'2024'!B24*16.5%+'2025'!B24*17.5%,1)</f>
        <v>4.5</v>
      </c>
      <c r="C27" s="13">
        <f>COUNTA(F26:Y26)</f>
        <v>14</v>
      </c>
      <c r="D27" s="19">
        <f>ROUND(B27/C27,2)</f>
        <v>0.32</v>
      </c>
      <c r="E27" s="4" t="s">
        <v>24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0"/>
      <c r="U27" s="10"/>
      <c r="V27" s="10"/>
      <c r="W27" s="10"/>
      <c r="X27" s="10"/>
      <c r="Y27" s="10"/>
    </row>
    <row r="28" spans="1:25" ht="22.5" customHeight="1">
      <c r="A28" s="20" t="s">
        <v>172</v>
      </c>
      <c r="B28" s="5" t="s">
        <v>3</v>
      </c>
      <c r="C28" s="5" t="s">
        <v>4</v>
      </c>
      <c r="D28" s="5" t="s">
        <v>5</v>
      </c>
      <c r="E28" s="4" t="s">
        <v>6</v>
      </c>
      <c r="F28" s="6" t="s">
        <v>173</v>
      </c>
      <c r="G28" s="6" t="s">
        <v>174</v>
      </c>
      <c r="H28" s="6" t="s">
        <v>175</v>
      </c>
      <c r="I28" s="6" t="s">
        <v>176</v>
      </c>
      <c r="J28" s="6" t="s">
        <v>177</v>
      </c>
      <c r="K28" s="6" t="s">
        <v>178</v>
      </c>
      <c r="L28" s="6" t="s">
        <v>179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22.5" customHeight="1">
      <c r="A29" s="21"/>
      <c r="B29" s="12">
        <f>ROUND('2017'!B26*10%+'2020'!B26*12.5%+'2021'!B26*13.5%+'2022'!B26*14.5%+'2023'!B26*15.5%+'2024'!B26*16.5%+'2025'!B26*17.5%,1)</f>
        <v>3.5</v>
      </c>
      <c r="C29" s="13">
        <f>COUNTA(F28:Y28)</f>
        <v>7</v>
      </c>
      <c r="D29" s="19">
        <f>ROUND(B29/C29,2)</f>
        <v>0.5</v>
      </c>
      <c r="E29" s="4" t="s">
        <v>24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22.5" customHeight="1">
      <c r="A30" s="20" t="s">
        <v>180</v>
      </c>
      <c r="B30" s="5" t="s">
        <v>3</v>
      </c>
      <c r="C30" s="5" t="s">
        <v>4</v>
      </c>
      <c r="D30" s="5" t="s">
        <v>5</v>
      </c>
      <c r="E30" s="4" t="s">
        <v>6</v>
      </c>
      <c r="F30" s="6" t="s">
        <v>181</v>
      </c>
      <c r="G30" s="6" t="s">
        <v>182</v>
      </c>
      <c r="H30" s="6" t="s">
        <v>183</v>
      </c>
      <c r="I30" s="6" t="s">
        <v>184</v>
      </c>
      <c r="J30" s="11"/>
      <c r="K30" s="11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22.5" customHeight="1">
      <c r="A31" s="21"/>
      <c r="B31" s="12">
        <f>ROUND('2017'!B28*10%+'2020'!B28*12.5%+'2021'!B28*13.5%+'2022'!B28*14.5%+'2023'!B28*15.5%+'2024'!B28*16.5%+'2025'!B28*17.5%,1)</f>
        <v>9.3000000000000007</v>
      </c>
      <c r="C31" s="13">
        <f>COUNTA(F30:Y30)</f>
        <v>4</v>
      </c>
      <c r="D31" s="19">
        <f>ROUND(B31/C31,2)</f>
        <v>2.33</v>
      </c>
      <c r="E31" s="4" t="s">
        <v>24</v>
      </c>
      <c r="F31" s="14">
        <v>0</v>
      </c>
      <c r="G31" s="14">
        <v>0</v>
      </c>
      <c r="H31" s="14">
        <v>0</v>
      </c>
      <c r="I31" s="14">
        <v>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22.5" customHeight="1">
      <c r="A32" s="20" t="s">
        <v>185</v>
      </c>
      <c r="B32" s="5" t="s">
        <v>3</v>
      </c>
      <c r="C32" s="5" t="s">
        <v>4</v>
      </c>
      <c r="D32" s="5" t="s">
        <v>5</v>
      </c>
      <c r="E32" s="4" t="s">
        <v>6</v>
      </c>
      <c r="F32" s="6" t="s">
        <v>186</v>
      </c>
      <c r="G32" s="6" t="s">
        <v>187</v>
      </c>
      <c r="H32" s="6" t="s">
        <v>188</v>
      </c>
      <c r="I32" s="6" t="s">
        <v>189</v>
      </c>
      <c r="J32" s="6" t="s">
        <v>190</v>
      </c>
      <c r="K32" s="6" t="s">
        <v>191</v>
      </c>
      <c r="L32" s="6" t="s">
        <v>192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22.5" customHeight="1">
      <c r="A33" s="21"/>
      <c r="B33" s="12">
        <f>ROUND('2017'!B30*10%+'2020'!B30*12.5%+'2021'!B30*13.5%+'2022'!B30*14.5%+'2023'!B30*15.5%+'2024'!B30*16.5%+'2025'!B30*17.5%,1)</f>
        <v>6.4</v>
      </c>
      <c r="C33" s="13">
        <f>COUNTA(F32:Y32)</f>
        <v>7</v>
      </c>
      <c r="D33" s="19">
        <f>ROUND(B33/C33,2)</f>
        <v>0.91</v>
      </c>
      <c r="E33" s="4" t="s">
        <v>24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28.5" customHeight="1">
      <c r="A34" s="22" t="s">
        <v>193</v>
      </c>
      <c r="B34" s="22"/>
      <c r="C34" s="23"/>
      <c r="D34" s="23"/>
      <c r="E34" s="23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22.5" customHeight="1">
      <c r="A35" s="2" t="s">
        <v>1</v>
      </c>
      <c r="B35" s="24">
        <f>SUM(F37:P37)*0.01*D37+SUM(F39:K39)*0.01*D39+SUM(F41:K41)*0.01*D41+SUM(F43:H43)*0.01*D43+SUM(F45:K45)*0.01*D45+SUM(F47:P47)*0.01*D47+SUM(F49:M49)*0.01*D49+SUM(F51:H51)*0.01*D51</f>
        <v>0</v>
      </c>
      <c r="C35" s="25"/>
      <c r="D35" s="25"/>
      <c r="E35" s="2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22.5" customHeight="1">
      <c r="A36" s="20" t="s">
        <v>194</v>
      </c>
      <c r="B36" s="5" t="s">
        <v>3</v>
      </c>
      <c r="C36" s="5" t="s">
        <v>4</v>
      </c>
      <c r="D36" s="5" t="s">
        <v>5</v>
      </c>
      <c r="E36" s="4" t="s">
        <v>6</v>
      </c>
      <c r="F36" s="6" t="s">
        <v>195</v>
      </c>
      <c r="G36" s="6" t="s">
        <v>196</v>
      </c>
      <c r="H36" s="6" t="s">
        <v>197</v>
      </c>
      <c r="I36" s="6" t="s">
        <v>198</v>
      </c>
      <c r="J36" s="6" t="s">
        <v>199</v>
      </c>
      <c r="K36" s="6" t="s">
        <v>200</v>
      </c>
      <c r="L36" s="6" t="s">
        <v>201</v>
      </c>
      <c r="M36" s="6" t="s">
        <v>202</v>
      </c>
      <c r="N36" s="6" t="s">
        <v>203</v>
      </c>
      <c r="O36" s="6" t="s">
        <v>204</v>
      </c>
      <c r="P36" s="6" t="s">
        <v>205</v>
      </c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22.5" customHeight="1">
      <c r="A37" s="21"/>
      <c r="B37" s="12">
        <f>ROUND('2017'!B33*10%+'2020'!B33*12.5%+'2021'!B33*13.5%+'2022'!B33*14.5%+'2023'!B33*15.5%+'2024'!B33*16.5%+'2025'!B33*17.5%,1)</f>
        <v>4.8</v>
      </c>
      <c r="C37" s="13">
        <f>COUNTA(F36:Y36)</f>
        <v>11</v>
      </c>
      <c r="D37" s="19">
        <f>ROUND(B37/C37,2)</f>
        <v>0.44</v>
      </c>
      <c r="E37" s="4" t="s">
        <v>24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22.5" customHeight="1">
      <c r="A38" s="20" t="s">
        <v>206</v>
      </c>
      <c r="B38" s="5" t="s">
        <v>3</v>
      </c>
      <c r="C38" s="5" t="s">
        <v>4</v>
      </c>
      <c r="D38" s="5" t="s">
        <v>5</v>
      </c>
      <c r="E38" s="4" t="s">
        <v>6</v>
      </c>
      <c r="F38" s="6" t="s">
        <v>207</v>
      </c>
      <c r="G38" s="6" t="s">
        <v>208</v>
      </c>
      <c r="H38" s="6" t="s">
        <v>209</v>
      </c>
      <c r="I38" s="6" t="s">
        <v>210</v>
      </c>
      <c r="J38" s="6" t="s">
        <v>211</v>
      </c>
      <c r="K38" s="6" t="s">
        <v>212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22.5" customHeight="1">
      <c r="A39" s="21"/>
      <c r="B39" s="12">
        <f>ROUND('2017'!B35*10%+'2020'!B35*12.5%+'2021'!B35*13.5%+'2022'!B35*14.5%+'2023'!B35*15.5%+'2024'!B35*16.5%+'2025'!B35*17.5%,1)</f>
        <v>4.0999999999999996</v>
      </c>
      <c r="C39" s="13">
        <f>COUNTA(F38:Y38)</f>
        <v>6</v>
      </c>
      <c r="D39" s="19">
        <f>ROUND(B39/C39,2)</f>
        <v>0.68</v>
      </c>
      <c r="E39" s="4" t="s">
        <v>24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22.5" customHeight="1">
      <c r="A40" s="20" t="s">
        <v>213</v>
      </c>
      <c r="B40" s="5" t="s">
        <v>3</v>
      </c>
      <c r="C40" s="5" t="s">
        <v>4</v>
      </c>
      <c r="D40" s="5" t="s">
        <v>5</v>
      </c>
      <c r="E40" s="4" t="s">
        <v>6</v>
      </c>
      <c r="F40" s="6" t="s">
        <v>213</v>
      </c>
      <c r="G40" s="6" t="s">
        <v>214</v>
      </c>
      <c r="H40" s="6" t="s">
        <v>215</v>
      </c>
      <c r="I40" s="6" t="s">
        <v>216</v>
      </c>
      <c r="J40" s="6" t="s">
        <v>217</v>
      </c>
      <c r="K40" s="6" t="s">
        <v>218</v>
      </c>
      <c r="L40" s="11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22.5" customHeight="1">
      <c r="A41" s="21"/>
      <c r="B41" s="12">
        <f>ROUND('2017'!B37*10%+'2020'!B37*12.5%+'2021'!B37*13.5%+'2022'!B37*14.5%+'2023'!B37*15.5%+'2024'!B37*16.5%+'2025'!B37*17.5%,1)</f>
        <v>6.7</v>
      </c>
      <c r="C41" s="13">
        <f>COUNTA(F40:Y40)</f>
        <v>6</v>
      </c>
      <c r="D41" s="19">
        <f>ROUND(B41/C41,2)</f>
        <v>1.1200000000000001</v>
      </c>
      <c r="E41" s="4" t="s">
        <v>24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22.5" customHeight="1">
      <c r="A42" s="20" t="s">
        <v>219</v>
      </c>
      <c r="B42" s="5" t="s">
        <v>3</v>
      </c>
      <c r="C42" s="5" t="s">
        <v>4</v>
      </c>
      <c r="D42" s="5" t="s">
        <v>5</v>
      </c>
      <c r="E42" s="4" t="s">
        <v>6</v>
      </c>
      <c r="F42" s="6" t="s">
        <v>220</v>
      </c>
      <c r="G42" s="6" t="s">
        <v>221</v>
      </c>
      <c r="H42" s="6" t="s">
        <v>222</v>
      </c>
      <c r="I42" s="1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22.5" customHeight="1">
      <c r="A43" s="21"/>
      <c r="B43" s="12">
        <f>ROUND('2017'!B39*10%+'2020'!B39*12.5%+'2021'!B39*13.5%+'2022'!B39*14.5%+'2023'!B39*15.5%+'2024'!B39*16.5%+'2025'!B39*17.5%,1)</f>
        <v>8</v>
      </c>
      <c r="C43" s="13">
        <f>COUNTA(F42:Y42)</f>
        <v>3</v>
      </c>
      <c r="D43" s="19">
        <f>ROUND(B43/C43,2)</f>
        <v>2.67</v>
      </c>
      <c r="E43" s="4" t="s">
        <v>24</v>
      </c>
      <c r="F43" s="14">
        <v>0</v>
      </c>
      <c r="G43" s="14">
        <v>0</v>
      </c>
      <c r="H43" s="14">
        <v>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22.5" customHeight="1">
      <c r="A44" s="20" t="s">
        <v>223</v>
      </c>
      <c r="B44" s="5" t="s">
        <v>3</v>
      </c>
      <c r="C44" s="5" t="s">
        <v>4</v>
      </c>
      <c r="D44" s="5" t="s">
        <v>5</v>
      </c>
      <c r="E44" s="4" t="s">
        <v>6</v>
      </c>
      <c r="F44" s="6" t="s">
        <v>224</v>
      </c>
      <c r="G44" s="6" t="s">
        <v>225</v>
      </c>
      <c r="H44" s="6" t="s">
        <v>226</v>
      </c>
      <c r="I44" s="6" t="s">
        <v>227</v>
      </c>
      <c r="J44" s="6" t="s">
        <v>228</v>
      </c>
      <c r="K44" s="6" t="s">
        <v>229</v>
      </c>
      <c r="L44" s="11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22.5" customHeight="1">
      <c r="A45" s="21"/>
      <c r="B45" s="12">
        <f>ROUND('2017'!B41*10%+'2020'!B41*12.5%+'2021'!B41*13.5%+'2022'!B41*14.5%+'2023'!B41*15.5%+'2024'!B41*16.5%+'2025'!B41*17.5%,1)</f>
        <v>0.9</v>
      </c>
      <c r="C45" s="13">
        <f>COUNTA(F44:Y44)</f>
        <v>6</v>
      </c>
      <c r="D45" s="19">
        <f>ROUND(B45/C45,2)</f>
        <v>0.15</v>
      </c>
      <c r="E45" s="4" t="s">
        <v>24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22.5" customHeight="1">
      <c r="A46" s="20" t="s">
        <v>230</v>
      </c>
      <c r="B46" s="5" t="s">
        <v>3</v>
      </c>
      <c r="C46" s="5" t="s">
        <v>4</v>
      </c>
      <c r="D46" s="5" t="s">
        <v>5</v>
      </c>
      <c r="E46" s="4" t="s">
        <v>6</v>
      </c>
      <c r="F46" s="6" t="s">
        <v>231</v>
      </c>
      <c r="G46" s="6" t="s">
        <v>232</v>
      </c>
      <c r="H46" s="6" t="s">
        <v>233</v>
      </c>
      <c r="I46" s="6" t="s">
        <v>234</v>
      </c>
      <c r="J46" s="6" t="s">
        <v>235</v>
      </c>
      <c r="K46" s="6" t="s">
        <v>236</v>
      </c>
      <c r="L46" s="6" t="s">
        <v>237</v>
      </c>
      <c r="M46" s="6" t="s">
        <v>238</v>
      </c>
      <c r="N46" s="6" t="s">
        <v>239</v>
      </c>
      <c r="O46" s="6" t="s">
        <v>240</v>
      </c>
      <c r="P46" s="6" t="s">
        <v>241</v>
      </c>
      <c r="Q46" s="11"/>
      <c r="R46" s="10"/>
      <c r="S46" s="10"/>
      <c r="T46" s="10"/>
      <c r="U46" s="10"/>
      <c r="V46" s="10"/>
      <c r="W46" s="10"/>
      <c r="X46" s="10"/>
      <c r="Y46" s="10"/>
    </row>
    <row r="47" spans="1:25" ht="22.5" customHeight="1">
      <c r="A47" s="21"/>
      <c r="B47" s="12">
        <f>ROUND('2017'!B43*10%+'2020'!B43*12.5%+'2021'!B43*13.5%+'2022'!B43*14.5%+'2023'!B43*15.5%+'2024'!B43*16.5%+'2025'!B43*17.5%,1)</f>
        <v>2.4</v>
      </c>
      <c r="C47" s="13">
        <f>COUNTA(F46:Y46)</f>
        <v>11</v>
      </c>
      <c r="D47" s="19">
        <f>ROUND(B47/C47,2)</f>
        <v>0.22</v>
      </c>
      <c r="E47" s="4" t="s">
        <v>24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22.5" customHeight="1">
      <c r="A48" s="20" t="s">
        <v>242</v>
      </c>
      <c r="B48" s="5" t="s">
        <v>3</v>
      </c>
      <c r="C48" s="5" t="s">
        <v>4</v>
      </c>
      <c r="D48" s="5" t="s">
        <v>5</v>
      </c>
      <c r="E48" s="4" t="s">
        <v>6</v>
      </c>
      <c r="F48" s="6" t="s">
        <v>243</v>
      </c>
      <c r="G48" s="6" t="s">
        <v>244</v>
      </c>
      <c r="H48" s="6" t="s">
        <v>245</v>
      </c>
      <c r="I48" s="6" t="s">
        <v>246</v>
      </c>
      <c r="J48" s="6" t="s">
        <v>247</v>
      </c>
      <c r="K48" s="6" t="s">
        <v>248</v>
      </c>
      <c r="L48" s="6" t="s">
        <v>249</v>
      </c>
      <c r="M48" s="6" t="s">
        <v>250</v>
      </c>
      <c r="N48" s="1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22.5" customHeight="1">
      <c r="A49" s="21"/>
      <c r="B49" s="12">
        <f>ROUND('2017'!B45*10%+'2020'!B45*12.5%+'2021'!B45*13.5%+'2022'!B45*14.5%+'2023'!B45*15.5%+'2024'!B45*16.5%+'2025'!B45*17.5%,1)</f>
        <v>4.0999999999999996</v>
      </c>
      <c r="C49" s="13">
        <f>COUNTA(F48:Y48)</f>
        <v>8</v>
      </c>
      <c r="D49" s="19">
        <f>ROUND(B49/C49,2)</f>
        <v>0.51</v>
      </c>
      <c r="E49" s="4" t="s">
        <v>24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22.5" customHeight="1">
      <c r="A50" s="20" t="s">
        <v>251</v>
      </c>
      <c r="B50" s="5" t="s">
        <v>3</v>
      </c>
      <c r="C50" s="5" t="s">
        <v>4</v>
      </c>
      <c r="D50" s="5" t="s">
        <v>5</v>
      </c>
      <c r="E50" s="4" t="s">
        <v>6</v>
      </c>
      <c r="F50" s="6" t="s">
        <v>252</v>
      </c>
      <c r="G50" s="6" t="s">
        <v>253</v>
      </c>
      <c r="H50" s="6" t="s">
        <v>254</v>
      </c>
      <c r="I50" s="1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22.5" customHeight="1">
      <c r="A51" s="21"/>
      <c r="B51" s="12">
        <f>ROUND('2017'!B47*10%+'2020'!B47*12.5%+'2021'!B47*13.5%+'2022'!B47*14.5%+'2023'!B47*15.5%+'2024'!B47*16.5%+'2025'!B47*17.5%,1)</f>
        <v>0.8</v>
      </c>
      <c r="C51" s="13">
        <f>COUNTA(F50:Y50)</f>
        <v>3</v>
      </c>
      <c r="D51" s="19">
        <f>ROUND(B51/C51,2)</f>
        <v>0.27</v>
      </c>
      <c r="E51" s="4" t="s">
        <v>24</v>
      </c>
      <c r="F51" s="14">
        <v>0</v>
      </c>
      <c r="G51" s="14">
        <v>0</v>
      </c>
      <c r="H51" s="14">
        <v>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22.5" customHeight="1">
      <c r="B52" s="15"/>
      <c r="E52" s="16"/>
    </row>
    <row r="53" spans="1:25" ht="22.5" customHeight="1"/>
    <row r="54" spans="1:25" ht="22.5" customHeight="1"/>
    <row r="55" spans="1:25" ht="22.5" customHeight="1"/>
    <row r="56" spans="1:25" ht="22.5" customHeight="1"/>
    <row r="57" spans="1:25" ht="22.5" customHeight="1"/>
    <row r="58" spans="1:25" ht="22.5" customHeight="1"/>
    <row r="59" spans="1:25" ht="22.5" customHeight="1"/>
    <row r="60" spans="1:25" ht="22.5" customHeight="1"/>
    <row r="61" spans="1:25" ht="22.5" customHeight="1"/>
    <row r="62" spans="1:25" ht="22.5" customHeight="1"/>
    <row r="63" spans="1:25" ht="22.5" customHeight="1"/>
    <row r="64" spans="1:25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</sheetData>
  <mergeCells count="29">
    <mergeCell ref="B35:E35"/>
    <mergeCell ref="B1:E1"/>
    <mergeCell ref="A46:A47"/>
    <mergeCell ref="A48:A49"/>
    <mergeCell ref="A50:A51"/>
    <mergeCell ref="A22:A23"/>
    <mergeCell ref="A36:A37"/>
    <mergeCell ref="A38:A39"/>
    <mergeCell ref="A40:A41"/>
    <mergeCell ref="A42:A43"/>
    <mergeCell ref="A44:A45"/>
    <mergeCell ref="A28:A29"/>
    <mergeCell ref="A30:A31"/>
    <mergeCell ref="A32:A33"/>
    <mergeCell ref="A12:A13"/>
    <mergeCell ref="A20:E20"/>
    <mergeCell ref="A2:E2"/>
    <mergeCell ref="A34:E34"/>
    <mergeCell ref="A4:A5"/>
    <mergeCell ref="A6:A7"/>
    <mergeCell ref="A8:A9"/>
    <mergeCell ref="A10:A11"/>
    <mergeCell ref="A14:A15"/>
    <mergeCell ref="A16:A17"/>
    <mergeCell ref="A18:A19"/>
    <mergeCell ref="A24:A25"/>
    <mergeCell ref="A26:A27"/>
    <mergeCell ref="B3:E3"/>
    <mergeCell ref="B21:E21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2025"/>
  <dimension ref="A1:D199"/>
  <sheetViews>
    <sheetView workbookViewId="0"/>
  </sheetViews>
  <sheetFormatPr defaultColWidth="14.08984375" defaultRowHeight="13"/>
  <cols>
    <col min="1" max="1" width="24.7265625" customWidth="1"/>
    <col min="2" max="4" width="13.7265625" style="8" customWidth="1"/>
    <col min="5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8">
        <v>7.5</v>
      </c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8">
        <v>17</v>
      </c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8">
        <v>12.5</v>
      </c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8">
        <v>7</v>
      </c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8">
        <v>11</v>
      </c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8">
        <v>17</v>
      </c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8">
        <v>10</v>
      </c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8">
        <v>6</v>
      </c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8">
        <v>0</v>
      </c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8">
        <v>7.5</v>
      </c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8">
        <v>2.5</v>
      </c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8">
        <v>8.5</v>
      </c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8">
        <v>7.5</v>
      </c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8">
        <v>5</v>
      </c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8">
        <v>8</v>
      </c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8">
        <v>7.5</v>
      </c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8">
        <v>3</v>
      </c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8">
        <v>7.5</v>
      </c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8">
        <v>0</v>
      </c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9">
        <v>2.5</v>
      </c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8">
        <v>0</v>
      </c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8">
        <v>2.5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2024"/>
  <dimension ref="A1:B199"/>
  <sheetViews>
    <sheetView workbookViewId="0">
      <selection sqref="A1:B1"/>
    </sheetView>
  </sheetViews>
  <sheetFormatPr defaultColWidth="14.08984375" defaultRowHeight="13"/>
  <cols>
    <col min="1" max="1" width="24.7265625" customWidth="1"/>
    <col min="2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8">
        <v>12.5</v>
      </c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8">
        <v>12.5</v>
      </c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8">
        <v>4.5</v>
      </c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8">
        <v>6</v>
      </c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8">
        <v>17</v>
      </c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8">
        <v>23</v>
      </c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8">
        <v>7.5</v>
      </c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8">
        <v>5</v>
      </c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8">
        <v>0</v>
      </c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8">
        <v>8</v>
      </c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8">
        <v>5</v>
      </c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8">
        <v>2.5</v>
      </c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8">
        <v>10.5</v>
      </c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8">
        <v>5</v>
      </c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8">
        <v>5</v>
      </c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8">
        <v>2.5</v>
      </c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8">
        <v>10</v>
      </c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8">
        <v>5</v>
      </c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8">
        <v>0</v>
      </c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8">
        <v>3</v>
      </c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8">
        <v>5.5</v>
      </c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8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2023"/>
  <dimension ref="A1:B199"/>
  <sheetViews>
    <sheetView workbookViewId="0">
      <selection sqref="A1:B1"/>
    </sheetView>
  </sheetViews>
  <sheetFormatPr defaultColWidth="14.08984375" defaultRowHeight="13"/>
  <cols>
    <col min="1" max="1" width="24.7265625" customWidth="1"/>
    <col min="2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8">
        <v>7.5</v>
      </c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8">
        <v>25.5</v>
      </c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8">
        <v>8.5</v>
      </c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8">
        <v>0</v>
      </c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8">
        <v>17</v>
      </c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8">
        <v>12</v>
      </c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8">
        <v>10</v>
      </c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8">
        <v>7.5</v>
      </c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8">
        <v>0</v>
      </c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8">
        <v>5</v>
      </c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8">
        <v>7.5</v>
      </c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8">
        <v>2.5</v>
      </c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8">
        <v>7</v>
      </c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8">
        <v>9</v>
      </c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8">
        <v>0</v>
      </c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8">
        <v>2.5</v>
      </c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8">
        <v>11.5</v>
      </c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8">
        <v>9.5</v>
      </c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8">
        <v>0</v>
      </c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8">
        <v>5</v>
      </c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8">
        <v>2.5</v>
      </c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8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2022"/>
  <dimension ref="A1:B199"/>
  <sheetViews>
    <sheetView workbookViewId="0">
      <selection sqref="A1:B1"/>
    </sheetView>
  </sheetViews>
  <sheetFormatPr defaultColWidth="14.08984375" defaultRowHeight="13"/>
  <cols>
    <col min="1" max="1" width="24.7265625" customWidth="1"/>
    <col min="2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8">
        <v>10</v>
      </c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8">
        <v>12</v>
      </c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8">
        <v>16</v>
      </c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8">
        <v>0</v>
      </c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8">
        <v>15</v>
      </c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8">
        <v>24</v>
      </c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8">
        <v>5</v>
      </c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8">
        <v>6</v>
      </c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8">
        <v>0</v>
      </c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8">
        <v>7.5</v>
      </c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8">
        <v>5</v>
      </c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8">
        <v>4</v>
      </c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8">
        <v>8</v>
      </c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8">
        <v>6.5</v>
      </c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8">
        <v>5</v>
      </c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8">
        <v>0</v>
      </c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8">
        <v>2.5</v>
      </c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8">
        <v>15.5</v>
      </c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8">
        <v>2.5</v>
      </c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8">
        <v>0</v>
      </c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8">
        <v>5.5</v>
      </c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8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2021"/>
  <dimension ref="A1:B199"/>
  <sheetViews>
    <sheetView workbookViewId="0">
      <selection sqref="A1:B1"/>
    </sheetView>
  </sheetViews>
  <sheetFormatPr defaultColWidth="14.08984375" defaultRowHeight="13"/>
  <cols>
    <col min="1" max="1" width="24.7265625" customWidth="1"/>
    <col min="2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8">
        <v>7.5</v>
      </c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8">
        <v>17.5</v>
      </c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8">
        <v>10</v>
      </c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8">
        <v>6</v>
      </c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8">
        <v>11</v>
      </c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8">
        <v>17</v>
      </c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8">
        <v>12</v>
      </c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8">
        <v>5</v>
      </c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8">
        <v>2.5</v>
      </c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8">
        <v>7.5</v>
      </c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8">
        <v>5</v>
      </c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8">
        <v>0</v>
      </c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8">
        <v>9</v>
      </c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8">
        <v>8</v>
      </c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8">
        <v>5</v>
      </c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8">
        <v>8</v>
      </c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8">
        <v>2.5</v>
      </c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8">
        <v>9</v>
      </c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8">
        <v>0</v>
      </c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8">
        <v>2.5</v>
      </c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8">
        <v>2.5</v>
      </c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8">
        <v>2.5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2020"/>
  <dimension ref="A1:B199"/>
  <sheetViews>
    <sheetView workbookViewId="0">
      <selection activeCell="J15" sqref="J15"/>
    </sheetView>
  </sheetViews>
  <sheetFormatPr defaultColWidth="14.08984375" defaultRowHeight="13"/>
  <cols>
    <col min="1" max="1" width="24.7265625" customWidth="1"/>
    <col min="2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8">
        <v>8</v>
      </c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8">
        <v>16</v>
      </c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8">
        <v>6</v>
      </c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8">
        <v>4</v>
      </c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8">
        <v>14</v>
      </c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8">
        <v>20</v>
      </c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8">
        <v>9</v>
      </c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8">
        <v>7</v>
      </c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8">
        <v>4</v>
      </c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8">
        <v>6</v>
      </c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8">
        <v>4</v>
      </c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8">
        <v>0</v>
      </c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8">
        <v>12.5</v>
      </c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8">
        <v>5.5</v>
      </c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8">
        <v>6</v>
      </c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8">
        <v>2</v>
      </c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8">
        <v>11</v>
      </c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8">
        <v>4</v>
      </c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8">
        <v>4</v>
      </c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8">
        <v>0</v>
      </c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8">
        <v>7</v>
      </c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8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2019"/>
  <dimension ref="A1:B199"/>
  <sheetViews>
    <sheetView workbookViewId="0">
      <selection sqref="A1:B1"/>
    </sheetView>
  </sheetViews>
  <sheetFormatPr defaultColWidth="14.08984375" defaultRowHeight="13"/>
  <cols>
    <col min="1" max="1" width="24.7265625" customWidth="1"/>
    <col min="2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1"/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1"/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1"/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1"/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1"/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1"/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1"/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1"/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1"/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1"/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1"/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1"/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1"/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1"/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1"/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1"/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1"/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1"/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1"/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7"/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1"/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1"/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2018"/>
  <dimension ref="A1:B199"/>
  <sheetViews>
    <sheetView workbookViewId="0">
      <selection sqref="A1:B1"/>
    </sheetView>
  </sheetViews>
  <sheetFormatPr defaultColWidth="14.08984375" defaultRowHeight="13"/>
  <cols>
    <col min="1" max="1" width="24.7265625" customWidth="1"/>
    <col min="2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1"/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1"/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1"/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1"/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1"/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1"/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1"/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1"/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1"/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1"/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1"/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1"/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1"/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1"/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1"/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1"/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1"/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1"/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1"/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7"/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1"/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1"/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2017"/>
  <dimension ref="A1:B199"/>
  <sheetViews>
    <sheetView workbookViewId="0"/>
  </sheetViews>
  <sheetFormatPr defaultColWidth="14.08984375" defaultRowHeight="13"/>
  <cols>
    <col min="1" max="1" width="24.7265625" customWidth="1"/>
    <col min="2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8">
        <v>12</v>
      </c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8">
        <v>25</v>
      </c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8">
        <v>9</v>
      </c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8">
        <v>3</v>
      </c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8">
        <v>14</v>
      </c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8">
        <v>11</v>
      </c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8">
        <v>4</v>
      </c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8">
        <v>4</v>
      </c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8">
        <v>0</v>
      </c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8">
        <v>8.5</v>
      </c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8">
        <v>2</v>
      </c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8">
        <v>6</v>
      </c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8">
        <v>12</v>
      </c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8">
        <v>5.5</v>
      </c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8">
        <v>4</v>
      </c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8">
        <v>7</v>
      </c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8">
        <v>7</v>
      </c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8">
        <v>4</v>
      </c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8">
        <v>0</v>
      </c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8">
        <v>4</v>
      </c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8">
        <v>8</v>
      </c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8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2016"/>
  <dimension ref="A1:B199"/>
  <sheetViews>
    <sheetView workbookViewId="0"/>
  </sheetViews>
  <sheetFormatPr defaultColWidth="14.08984375" defaultRowHeight="13"/>
  <cols>
    <col min="1" max="1" width="24.7265625" customWidth="1"/>
    <col min="2" max="26" width="13.7265625" customWidth="1"/>
  </cols>
  <sheetData>
    <row r="1" spans="1:2" ht="30" customHeight="1">
      <c r="A1" s="22" t="s">
        <v>0</v>
      </c>
      <c r="B1" s="23"/>
    </row>
    <row r="2" spans="1:2" ht="22.5" customHeight="1">
      <c r="A2" s="20" t="s">
        <v>2</v>
      </c>
      <c r="B2" s="5" t="s">
        <v>255</v>
      </c>
    </row>
    <row r="3" spans="1:2" ht="22.5" customHeight="1">
      <c r="A3" s="21"/>
      <c r="B3" s="1"/>
    </row>
    <row r="4" spans="1:2" ht="22.5" customHeight="1">
      <c r="A4" s="20" t="s">
        <v>25</v>
      </c>
      <c r="B4" s="5" t="s">
        <v>255</v>
      </c>
    </row>
    <row r="5" spans="1:2" ht="22.5" customHeight="1">
      <c r="A5" s="21"/>
      <c r="B5" s="1"/>
    </row>
    <row r="6" spans="1:2" ht="22.5" customHeight="1">
      <c r="A6" s="20" t="s">
        <v>45</v>
      </c>
      <c r="B6" s="5" t="s">
        <v>255</v>
      </c>
    </row>
    <row r="7" spans="1:2" ht="22.5" customHeight="1">
      <c r="A7" s="21"/>
      <c r="B7" s="1"/>
    </row>
    <row r="8" spans="1:2" ht="22.5" customHeight="1">
      <c r="A8" s="20" t="s">
        <v>57</v>
      </c>
      <c r="B8" s="5" t="s">
        <v>255</v>
      </c>
    </row>
    <row r="9" spans="1:2" ht="22.5" customHeight="1">
      <c r="A9" s="21"/>
      <c r="B9" s="1"/>
    </row>
    <row r="10" spans="1:2" ht="22.5" customHeight="1">
      <c r="A10" s="20" t="s">
        <v>78</v>
      </c>
      <c r="B10" s="5" t="s">
        <v>255</v>
      </c>
    </row>
    <row r="11" spans="1:2" ht="22.5" customHeight="1">
      <c r="A11" s="21"/>
      <c r="B11" s="1"/>
    </row>
    <row r="12" spans="1:2" ht="22.5" customHeight="1">
      <c r="A12" s="20" t="s">
        <v>93</v>
      </c>
      <c r="B12" s="5" t="s">
        <v>255</v>
      </c>
    </row>
    <row r="13" spans="1:2" ht="22.5" customHeight="1">
      <c r="A13" s="21"/>
      <c r="B13" s="1"/>
    </row>
    <row r="14" spans="1:2" ht="22.5" customHeight="1">
      <c r="A14" s="20" t="s">
        <v>106</v>
      </c>
      <c r="B14" s="5" t="s">
        <v>255</v>
      </c>
    </row>
    <row r="15" spans="1:2" ht="22.5" customHeight="1">
      <c r="A15" s="21"/>
      <c r="B15" s="1"/>
    </row>
    <row r="16" spans="1:2" ht="22.5" customHeight="1">
      <c r="A16" s="20" t="s">
        <v>124</v>
      </c>
      <c r="B16" s="5" t="s">
        <v>255</v>
      </c>
    </row>
    <row r="17" spans="1:2" ht="22.5" customHeight="1">
      <c r="A17" s="21"/>
      <c r="B17" s="1"/>
    </row>
    <row r="18" spans="1:2" ht="27" customHeight="1">
      <c r="A18" s="22" t="s">
        <v>139</v>
      </c>
      <c r="B18" s="23"/>
    </row>
    <row r="19" spans="1:2" ht="22.5" customHeight="1">
      <c r="A19" s="20" t="s">
        <v>140</v>
      </c>
      <c r="B19" s="5" t="s">
        <v>255</v>
      </c>
    </row>
    <row r="20" spans="1:2" ht="22.5" customHeight="1">
      <c r="A20" s="21"/>
      <c r="B20" s="1"/>
    </row>
    <row r="21" spans="1:2" ht="22.5" customHeight="1">
      <c r="A21" s="20" t="s">
        <v>143</v>
      </c>
      <c r="B21" s="5" t="s">
        <v>255</v>
      </c>
    </row>
    <row r="22" spans="1:2" ht="22.5" customHeight="1">
      <c r="A22" s="21"/>
      <c r="B22" s="1"/>
    </row>
    <row r="23" spans="1:2" ht="22.5" customHeight="1">
      <c r="A23" s="20" t="s">
        <v>158</v>
      </c>
      <c r="B23" s="5" t="s">
        <v>255</v>
      </c>
    </row>
    <row r="24" spans="1:2" ht="22.5" customHeight="1">
      <c r="A24" s="21"/>
      <c r="B24" s="1"/>
    </row>
    <row r="25" spans="1:2" ht="22.5" customHeight="1">
      <c r="A25" s="20" t="s">
        <v>172</v>
      </c>
      <c r="B25" s="5" t="s">
        <v>255</v>
      </c>
    </row>
    <row r="26" spans="1:2" ht="22.5" customHeight="1">
      <c r="A26" s="21"/>
      <c r="B26" s="1"/>
    </row>
    <row r="27" spans="1:2" ht="22.5" customHeight="1">
      <c r="A27" s="20" t="s">
        <v>180</v>
      </c>
      <c r="B27" s="5" t="s">
        <v>255</v>
      </c>
    </row>
    <row r="28" spans="1:2" ht="22.5" customHeight="1">
      <c r="A28" s="21"/>
      <c r="B28" s="1"/>
    </row>
    <row r="29" spans="1:2" ht="22.5" customHeight="1">
      <c r="A29" s="20" t="s">
        <v>185</v>
      </c>
      <c r="B29" s="5" t="s">
        <v>255</v>
      </c>
    </row>
    <row r="30" spans="1:2" ht="22.5" customHeight="1">
      <c r="A30" s="21"/>
      <c r="B30" s="1"/>
    </row>
    <row r="31" spans="1:2" ht="28.5" customHeight="1">
      <c r="A31" s="22" t="s">
        <v>193</v>
      </c>
      <c r="B31" s="23"/>
    </row>
    <row r="32" spans="1:2" ht="22.5" customHeight="1">
      <c r="A32" s="20" t="s">
        <v>194</v>
      </c>
      <c r="B32" s="5" t="s">
        <v>255</v>
      </c>
    </row>
    <row r="33" spans="1:2" ht="22.5" customHeight="1">
      <c r="A33" s="21"/>
      <c r="B33" s="1"/>
    </row>
    <row r="34" spans="1:2" ht="22.5" customHeight="1">
      <c r="A34" s="20" t="s">
        <v>206</v>
      </c>
      <c r="B34" s="5" t="s">
        <v>255</v>
      </c>
    </row>
    <row r="35" spans="1:2" ht="22.5" customHeight="1">
      <c r="A35" s="21"/>
      <c r="B35" s="1"/>
    </row>
    <row r="36" spans="1:2" ht="22.5" customHeight="1">
      <c r="A36" s="20" t="s">
        <v>213</v>
      </c>
      <c r="B36" s="5" t="s">
        <v>255</v>
      </c>
    </row>
    <row r="37" spans="1:2" ht="22.5" customHeight="1">
      <c r="A37" s="21"/>
      <c r="B37" s="1"/>
    </row>
    <row r="38" spans="1:2" ht="22.5" customHeight="1">
      <c r="A38" s="20" t="s">
        <v>219</v>
      </c>
      <c r="B38" s="5" t="s">
        <v>255</v>
      </c>
    </row>
    <row r="39" spans="1:2" ht="22.5" customHeight="1">
      <c r="A39" s="21"/>
      <c r="B39" s="1"/>
    </row>
    <row r="40" spans="1:2" ht="22.5" customHeight="1">
      <c r="A40" s="20" t="s">
        <v>223</v>
      </c>
      <c r="B40" s="5" t="s">
        <v>255</v>
      </c>
    </row>
    <row r="41" spans="1:2" ht="22.5" customHeight="1">
      <c r="A41" s="21"/>
      <c r="B41" s="1"/>
    </row>
    <row r="42" spans="1:2" ht="22.5" customHeight="1">
      <c r="A42" s="20" t="s">
        <v>230</v>
      </c>
      <c r="B42" s="5" t="s">
        <v>255</v>
      </c>
    </row>
    <row r="43" spans="1:2" ht="22.5" customHeight="1">
      <c r="A43" s="21"/>
      <c r="B43" s="7"/>
    </row>
    <row r="44" spans="1:2" ht="22.5" customHeight="1">
      <c r="A44" s="20" t="s">
        <v>242</v>
      </c>
      <c r="B44" s="5" t="s">
        <v>255</v>
      </c>
    </row>
    <row r="45" spans="1:2" ht="22.5" customHeight="1">
      <c r="A45" s="21"/>
      <c r="B45" s="1"/>
    </row>
    <row r="46" spans="1:2" ht="22.5" customHeight="1">
      <c r="A46" s="20" t="s">
        <v>251</v>
      </c>
      <c r="B46" s="5" t="s">
        <v>255</v>
      </c>
    </row>
    <row r="47" spans="1:2" ht="22.5" customHeight="1">
      <c r="A47" s="21"/>
      <c r="B47" s="1"/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19:A20"/>
    <mergeCell ref="A1:B1"/>
    <mergeCell ref="A18:B18"/>
    <mergeCell ref="A31:B31"/>
    <mergeCell ref="A36:A37"/>
    <mergeCell ref="A38:A39"/>
    <mergeCell ref="A40:A41"/>
    <mergeCell ref="A42:A43"/>
    <mergeCell ref="A44:A45"/>
    <mergeCell ref="A25:A26"/>
    <mergeCell ref="A27:A28"/>
    <mergeCell ref="A29:A30"/>
    <mergeCell ref="A32:A33"/>
    <mergeCell ref="A34:A35"/>
    <mergeCell ref="A12:A13"/>
    <mergeCell ref="A14:A15"/>
    <mergeCell ref="A16:A17"/>
    <mergeCell ref="A21:A22"/>
    <mergeCell ref="A23:A24"/>
    <mergeCell ref="A2:A3"/>
    <mergeCell ref="A4:A5"/>
    <mergeCell ref="A6:A7"/>
    <mergeCell ref="A8:A9"/>
    <mergeCell ref="A10:A1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分数面板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liu</cp:lastModifiedBy>
  <dcterms:created xsi:type="dcterms:W3CDTF">2026-09-23T19:52:46Z</dcterms:created>
  <dcterms:modified xsi:type="dcterms:W3CDTF">2026-09-30T10:08:51Z</dcterms:modified>
</cp:coreProperties>
</file>