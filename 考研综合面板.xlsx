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考研\考研面板\"/>
    </mc:Choice>
  </mc:AlternateContent>
  <xr:revisionPtr revIDLastSave="0" documentId="13_ncr:1_{91EFD824-E515-4BFB-9D26-C5EA04958110}" xr6:coauthVersionLast="47" xr6:coauthVersionMax="47" xr10:uidLastSave="{00000000-0000-0000-0000-000000000000}"/>
  <bookViews>
    <workbookView xWindow="2280" yWindow="2350" windowWidth="22800" windowHeight="13750" activeTab="1" xr2:uid="{00000000-000D-0000-FFFF-FFFF00000000}"/>
  </bookViews>
  <sheets>
    <sheet name="数学-分数面板" sheetId="2" r:id="rId1"/>
    <sheet name="408-分数面板" sheetId="20" r:id="rId2"/>
    <sheet name="数学-小节得分-2025" sheetId="3" r:id="rId3"/>
    <sheet name="数学-小节得分-2024" sheetId="4" r:id="rId4"/>
    <sheet name="数学-小节得分-2023" sheetId="5" r:id="rId5"/>
    <sheet name="数学-小节得分-2022" sheetId="6" r:id="rId6"/>
    <sheet name="数学-小节得分-2021" sheetId="7" r:id="rId7"/>
    <sheet name="数学-小节得分-2020" sheetId="8" r:id="rId8"/>
    <sheet name="数学-小节得分-2019" sheetId="9" r:id="rId9"/>
    <sheet name="数学-小节得分-2018" sheetId="10" r:id="rId10"/>
    <sheet name="数学-小节得分-2017" sheetId="11" r:id="rId11"/>
    <sheet name="数学-小节得分-2016" sheetId="12" r:id="rId12"/>
    <sheet name="数学-考点分布-2017" sheetId="13" r:id="rId13"/>
    <sheet name="数学-考点分布-2020" sheetId="14" r:id="rId14"/>
    <sheet name="数学-考点分布-2021" sheetId="15" r:id="rId15"/>
    <sheet name="数学-考点分布-2022" sheetId="16" r:id="rId16"/>
    <sheet name="数学-考点分布-2023" sheetId="17" r:id="rId17"/>
    <sheet name="数学-考点分布-2024" sheetId="18" r:id="rId18"/>
    <sheet name="数学-考点分布-2025" sheetId="19" r:id="rId19"/>
    <sheet name="408-小节得分-2025" sheetId="21" r:id="rId20"/>
    <sheet name="408-小节得分-2024" sheetId="22" r:id="rId21"/>
    <sheet name="408-小节得分-2023" sheetId="23" r:id="rId22"/>
    <sheet name="408-小节得分-2022" sheetId="24" r:id="rId23"/>
    <sheet name="408-小节得分-2021" sheetId="25" r:id="rId24"/>
    <sheet name="408-小节得分-2020" sheetId="26" r:id="rId25"/>
    <sheet name="408-小节得分-2019" sheetId="27" r:id="rId26"/>
    <sheet name="408-小节得分-2018" sheetId="28" r:id="rId27"/>
    <sheet name="408-小节得分-2017" sheetId="29" r:id="rId28"/>
    <sheet name="408-小节得分-2016" sheetId="30" r:id="rId29"/>
    <sheet name="408-考点分布-2025" sheetId="31" r:id="rId30"/>
    <sheet name="408-考点分布-2024" sheetId="32" r:id="rId31"/>
    <sheet name="408-考点分布-2023" sheetId="33" r:id="rId32"/>
    <sheet name="408-考点分布-2022" sheetId="34" r:id="rId33"/>
    <sheet name="408-考点分布-2021" sheetId="35" r:id="rId34"/>
    <sheet name="408-考点分布-2020" sheetId="36" r:id="rId35"/>
    <sheet name="408-考点分布-2019" sheetId="37" r:id="rId36"/>
    <sheet name="408-考点分布-2018" sheetId="38" r:id="rId37"/>
    <sheet name="408-考点分布-2017" sheetId="39" r:id="rId3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6" i="39" l="1"/>
  <c r="C65" i="39"/>
  <c r="C65" i="38"/>
  <c r="C64" i="38"/>
  <c r="C65" i="37"/>
  <c r="C64" i="37"/>
  <c r="C63" i="36"/>
  <c r="C62" i="36"/>
  <c r="C68" i="35"/>
  <c r="C67" i="35"/>
  <c r="C65" i="34"/>
  <c r="C64" i="34"/>
  <c r="C66" i="33"/>
  <c r="C65" i="33"/>
  <c r="C67" i="32"/>
  <c r="C66" i="32"/>
  <c r="C64" i="31"/>
  <c r="C63" i="31"/>
  <c r="B70" i="20"/>
  <c r="C57" i="20"/>
  <c r="B57" i="20"/>
  <c r="C55" i="20"/>
  <c r="B55" i="20"/>
  <c r="C53" i="20"/>
  <c r="B53" i="20"/>
  <c r="D53" i="20" s="1"/>
  <c r="C51" i="20"/>
  <c r="B51" i="20"/>
  <c r="D51" i="20" s="1"/>
  <c r="C49" i="20"/>
  <c r="B49" i="20"/>
  <c r="D49" i="20" s="1"/>
  <c r="C47" i="20"/>
  <c r="B47" i="20"/>
  <c r="C43" i="20"/>
  <c r="B43" i="20"/>
  <c r="D43" i="20" s="1"/>
  <c r="C41" i="20"/>
  <c r="B41" i="20"/>
  <c r="D41" i="20" s="1"/>
  <c r="C39" i="20"/>
  <c r="B39" i="20"/>
  <c r="D39" i="20" s="1"/>
  <c r="C37" i="20"/>
  <c r="B37" i="20"/>
  <c r="D37" i="20" s="1"/>
  <c r="C35" i="20"/>
  <c r="B35" i="20"/>
  <c r="C31" i="20"/>
  <c r="B31" i="20"/>
  <c r="C29" i="20"/>
  <c r="B29" i="20"/>
  <c r="D29" i="20" s="1"/>
  <c r="C27" i="20"/>
  <c r="B27" i="20"/>
  <c r="D27" i="20" s="1"/>
  <c r="C25" i="20"/>
  <c r="B25" i="20"/>
  <c r="D25" i="20" s="1"/>
  <c r="C23" i="20"/>
  <c r="B23" i="20"/>
  <c r="D23" i="20" s="1"/>
  <c r="C21" i="20"/>
  <c r="B21" i="20"/>
  <c r="D21" i="20" s="1"/>
  <c r="C17" i="20"/>
  <c r="B17" i="20"/>
  <c r="D17" i="20" s="1"/>
  <c r="C15" i="20"/>
  <c r="B15" i="20"/>
  <c r="C13" i="20"/>
  <c r="B13" i="20"/>
  <c r="D13" i="20" s="1"/>
  <c r="C11" i="20"/>
  <c r="B11" i="20"/>
  <c r="C9" i="20"/>
  <c r="B9" i="20"/>
  <c r="D9" i="20" s="1"/>
  <c r="C7" i="20"/>
  <c r="B7" i="20"/>
  <c r="D7" i="20" s="1"/>
  <c r="C5" i="20"/>
  <c r="B5" i="20"/>
  <c r="D5" i="20" s="1"/>
  <c r="C28" i="19"/>
  <c r="C27" i="19"/>
  <c r="C29" i="18"/>
  <c r="C28" i="18"/>
  <c r="C31" i="17"/>
  <c r="C30" i="17"/>
  <c r="C28" i="16"/>
  <c r="C27" i="16"/>
  <c r="C30" i="15"/>
  <c r="C29" i="15"/>
  <c r="C32" i="14"/>
  <c r="C31" i="14"/>
  <c r="C33" i="13"/>
  <c r="C32" i="13"/>
  <c r="C51" i="2"/>
  <c r="B51" i="2"/>
  <c r="D51" i="2" s="1"/>
  <c r="C49" i="2"/>
  <c r="B49" i="2"/>
  <c r="D49" i="2" s="1"/>
  <c r="C47" i="2"/>
  <c r="B47" i="2"/>
  <c r="D47" i="2" s="1"/>
  <c r="C45" i="2"/>
  <c r="B45" i="2"/>
  <c r="D45" i="2" s="1"/>
  <c r="C43" i="2"/>
  <c r="B43" i="2"/>
  <c r="D43" i="2" s="1"/>
  <c r="C41" i="2"/>
  <c r="B41" i="2"/>
  <c r="D41" i="2" s="1"/>
  <c r="C39" i="2"/>
  <c r="B39" i="2"/>
  <c r="D39" i="2" s="1"/>
  <c r="C37" i="2"/>
  <c r="B37" i="2"/>
  <c r="D37" i="2" s="1"/>
  <c r="C33" i="2"/>
  <c r="B33" i="2"/>
  <c r="D33" i="2" s="1"/>
  <c r="C31" i="2"/>
  <c r="B31" i="2"/>
  <c r="D31" i="2" s="1"/>
  <c r="C29" i="2"/>
  <c r="B29" i="2"/>
  <c r="D29" i="2" s="1"/>
  <c r="C27" i="2"/>
  <c r="B27" i="2"/>
  <c r="D27" i="2" s="1"/>
  <c r="C25" i="2"/>
  <c r="B25" i="2"/>
  <c r="D25" i="2" s="1"/>
  <c r="C23" i="2"/>
  <c r="B23" i="2"/>
  <c r="D23" i="2" s="1"/>
  <c r="C19" i="2"/>
  <c r="B19" i="2"/>
  <c r="C17" i="2"/>
  <c r="B17" i="2"/>
  <c r="D17" i="2" s="1"/>
  <c r="C15" i="2"/>
  <c r="B15" i="2"/>
  <c r="D15" i="2" s="1"/>
  <c r="C13" i="2"/>
  <c r="B13" i="2"/>
  <c r="D13" i="2" s="1"/>
  <c r="C11" i="2"/>
  <c r="B11" i="2"/>
  <c r="D11" i="2" s="1"/>
  <c r="C9" i="2"/>
  <c r="B9" i="2"/>
  <c r="D9" i="2" s="1"/>
  <c r="C7" i="2"/>
  <c r="B7" i="2"/>
  <c r="D7" i="2" s="1"/>
  <c r="C5" i="2"/>
  <c r="B5" i="2"/>
  <c r="D5" i="2" s="1"/>
  <c r="D47" i="20" l="1"/>
  <c r="B21" i="2"/>
  <c r="D31" i="20"/>
  <c r="D55" i="20"/>
  <c r="D19" i="2"/>
  <c r="D11" i="20"/>
  <c r="B35" i="2"/>
  <c r="D15" i="20"/>
  <c r="B19" i="20"/>
  <c r="D35" i="20"/>
  <c r="D57" i="20"/>
  <c r="B45" i="20" s="1"/>
  <c r="B3" i="20"/>
  <c r="B33" i="20"/>
  <c r="B3" i="2"/>
  <c r="B1" i="2" s="1"/>
  <c r="B1" i="20" l="1"/>
</calcChain>
</file>

<file path=xl/sharedStrings.xml><?xml version="1.0" encoding="utf-8"?>
<sst xmlns="http://schemas.openxmlformats.org/spreadsheetml/2006/main" count="3346" uniqueCount="730">
  <si>
    <t>数学考研面板总分</t>
    <phoneticPr fontId="5" type="noConversion"/>
  </si>
  <si>
    <t>高等数学（60%，90分）</t>
  </si>
  <si>
    <t>总分</t>
  </si>
  <si>
    <t>函数，极限，连续</t>
  </si>
  <si>
    <t>小节分数</t>
  </si>
  <si>
    <t>总节点数</t>
  </si>
  <si>
    <t>单节点分数</t>
  </si>
  <si>
    <t>节点</t>
  </si>
  <si>
    <t>函数的概念及表示法</t>
  </si>
  <si>
    <t>函数的有界性、单调性、周期性和奇偶性</t>
  </si>
  <si>
    <t>复合函数、反函数、分段函数和隐函数</t>
  </si>
  <si>
    <t>基本初等函数的性质及其图形</t>
  </si>
  <si>
    <t>初等函数</t>
  </si>
  <si>
    <t>函数关系的建立</t>
  </si>
  <si>
    <t>数列极限与函数极限的定义及其性质</t>
  </si>
  <si>
    <t>函数的左极限和右极限</t>
  </si>
  <si>
    <t>无穷小量和无穷大量的概念及其关系</t>
  </si>
  <si>
    <t>无穷小量的性质及无穷小量的比较</t>
  </si>
  <si>
    <t>极限的四则运算</t>
  </si>
  <si>
    <t>极限存在的两个准则：单调有界准则和夹逼准则</t>
  </si>
  <si>
    <t>两个重要极限</t>
  </si>
  <si>
    <t>函数连续的概念</t>
  </si>
  <si>
    <t>函数间断点的类型</t>
  </si>
  <si>
    <t>初等函数的连续性</t>
  </si>
  <si>
    <t>闭区间上连续函数的性质</t>
  </si>
  <si>
    <t>掌握度（0~100）</t>
  </si>
  <si>
    <t>一元函数微分</t>
  </si>
  <si>
    <t>导数和微分的概念</t>
  </si>
  <si>
    <t>导数的几何意义和物理意义</t>
  </si>
  <si>
    <t>函数的可导性与连续性之间的关系</t>
  </si>
  <si>
    <t>平面曲线的切线和法线</t>
  </si>
  <si>
    <t>导数和微分的四则运算</t>
  </si>
  <si>
    <t>基本初等函数的导数</t>
  </si>
  <si>
    <t>复合函数、反函数、隐函数以及参数方程所确定的函数的微分法</t>
  </si>
  <si>
    <t>高阶导数</t>
  </si>
  <si>
    <t>一阶微分形式的不变性</t>
  </si>
  <si>
    <t>微分中值定理</t>
  </si>
  <si>
    <t>洛必达（L’Hospital）法则</t>
  </si>
  <si>
    <t>函数单调性的判别</t>
  </si>
  <si>
    <t>函数的极值</t>
  </si>
  <si>
    <t>函数图形的凹凸性、拐点及渐近线</t>
  </si>
  <si>
    <t>函数图形的描绘</t>
  </si>
  <si>
    <t>函数的最大值与最小值</t>
  </si>
  <si>
    <t>弧微分</t>
  </si>
  <si>
    <t>曲率的概念</t>
  </si>
  <si>
    <t>曲率圆与曲率半径</t>
  </si>
  <si>
    <t>一元函数积分</t>
  </si>
  <si>
    <t>原函数和不定积分的概念</t>
  </si>
  <si>
    <t>不定积分的基本性质</t>
  </si>
  <si>
    <t>基本积分公式</t>
  </si>
  <si>
    <t>定积分的概念和基本性质</t>
  </si>
  <si>
    <t>定积分中值定理</t>
  </si>
  <si>
    <t>积分上限的函数及其导数</t>
  </si>
  <si>
    <t>牛顿-莱布尼茨（Newton-Leibniz）公式</t>
  </si>
  <si>
    <t>不定积分和定积分的换元积分法与分部积分法</t>
  </si>
  <si>
    <t>有理函数、三角函数有理式和简单无理函数的积分</t>
  </si>
  <si>
    <t>反常（广义）积分</t>
  </si>
  <si>
    <t>定积分的应用</t>
  </si>
  <si>
    <t>向量代数与空间解析几何</t>
  </si>
  <si>
    <t>向量的概念</t>
  </si>
  <si>
    <t>向量的线性运算</t>
  </si>
  <si>
    <t>向量的数量积和向量积</t>
  </si>
  <si>
    <t>向量的混合积</t>
  </si>
  <si>
    <t>两向量垂直、平行的条件</t>
  </si>
  <si>
    <t>两向量的夹角</t>
  </si>
  <si>
    <t>向量的坐标表达式及其运算</t>
  </si>
  <si>
    <t>单位向量</t>
  </si>
  <si>
    <t>方向数与方向余弦</t>
  </si>
  <si>
    <t>曲面方程和空间曲线方程的概念</t>
  </si>
  <si>
    <t>平面方程</t>
  </si>
  <si>
    <t>直线方程</t>
  </si>
  <si>
    <t>平面与平面、平面与直线、直线与直线的夹角以及平行、垂直的条件</t>
  </si>
  <si>
    <t>点到平面和点到直线的距离</t>
  </si>
  <si>
    <t>球面</t>
  </si>
  <si>
    <t>柱面</t>
  </si>
  <si>
    <t>旋转曲面</t>
  </si>
  <si>
    <t>常用的二次曲面方程及其图形</t>
  </si>
  <si>
    <t>空间曲线的参数方程和一般方程</t>
  </si>
  <si>
    <t>空间曲线在坐标面上的投影曲线方程</t>
  </si>
  <si>
    <t>多元函数微分</t>
  </si>
  <si>
    <t>多元函数的概念</t>
  </si>
  <si>
    <t>二元函数的几何意义</t>
  </si>
  <si>
    <t>二元函数的极限与连续的概念</t>
  </si>
  <si>
    <t>有界闭区域上多元连续函数的性质</t>
  </si>
  <si>
    <t>多元函数的偏导数和全微分</t>
  </si>
  <si>
    <t>全微分存在的必要条件和充分条件</t>
  </si>
  <si>
    <t>多元复合函数、隐函数的求导法</t>
  </si>
  <si>
    <t>二阶偏导数</t>
  </si>
  <si>
    <t>方向导数和梯度</t>
  </si>
  <si>
    <t>空间曲线的切线和法平面</t>
  </si>
  <si>
    <t>曲面的切平面和法线</t>
  </si>
  <si>
    <t>二元函数的二阶泰勒公式</t>
  </si>
  <si>
    <t>多元函数的极值和条件极值</t>
  </si>
  <si>
    <t>多元函数的最大值、最小值及其简单应用</t>
  </si>
  <si>
    <t>多元函数积分</t>
  </si>
  <si>
    <t>二重积分与三重积分的概念、性质、计算和应用</t>
  </si>
  <si>
    <t>两类曲线积分的概念、性质及计算</t>
  </si>
  <si>
    <t>两类曲线积分的关系</t>
  </si>
  <si>
    <t>格林（Green）公式</t>
  </si>
  <si>
    <t>平面曲线积分与路径无关的条件</t>
  </si>
  <si>
    <t>二元函数全微分的原函数</t>
  </si>
  <si>
    <t>两类曲面积分的概念、性质及计算</t>
  </si>
  <si>
    <t>两类曲面积分的关系</t>
  </si>
  <si>
    <t>高斯（Gauss）公式</t>
  </si>
  <si>
    <t>斯托克斯（Stokes）公式</t>
  </si>
  <si>
    <t>散度、旋度的概念及计算</t>
  </si>
  <si>
    <t>曲线积分和曲面积分的应用</t>
  </si>
  <si>
    <t>无穷级数</t>
  </si>
  <si>
    <t>常数项级数的收敛与发散的概念</t>
  </si>
  <si>
    <t>收敛级数的和的概念</t>
  </si>
  <si>
    <t>级数的基本性质与收敛的必要条件</t>
  </si>
  <si>
    <t>几何级数与p级数及其收敛性</t>
  </si>
  <si>
    <t>正项级数收敛性的判别法</t>
  </si>
  <si>
    <t>交错级数与莱布尼茨定理</t>
  </si>
  <si>
    <t>任意项级数的绝对收敛与条件收敛</t>
  </si>
  <si>
    <t>函数项级数的收敛域与和函数的概念</t>
  </si>
  <si>
    <t>幂级数及其收敛半径、收敛区间（指开区间）和收敛域</t>
  </si>
  <si>
    <t>幂级数的和函数</t>
  </si>
  <si>
    <t>幂级数在其收敛区间内的基本性质</t>
  </si>
  <si>
    <t>简单幂级数的和函数的求法</t>
  </si>
  <si>
    <t>初等函数的幂级数展开式</t>
  </si>
  <si>
    <t>函数的傅里叶（Fourier）系数与傅里叶级数</t>
  </si>
  <si>
    <t>狄利克雷（Dirichlet）定理</t>
  </si>
  <si>
    <t>函数在[-l，l]上的傅里叶级数</t>
  </si>
  <si>
    <t>函数在[0，l]上的正弦级数和余弦级数</t>
  </si>
  <si>
    <t>常微分方程</t>
  </si>
  <si>
    <t>常微分方程的基本概念</t>
  </si>
  <si>
    <t>变量可分离的微分方程</t>
  </si>
  <si>
    <t>齐次微分方程</t>
  </si>
  <si>
    <t>一阶线性微分方程</t>
  </si>
  <si>
    <t>伯努利（Bernoulli）方程</t>
  </si>
  <si>
    <t>全微分方程</t>
  </si>
  <si>
    <t>可用简单的变量代换求解的某些微分方程</t>
  </si>
  <si>
    <t>可降阶的高阶微分方程</t>
  </si>
  <si>
    <t>线性微分方程解的性质及解的结构定理</t>
  </si>
  <si>
    <t>二阶常系数齐次线性微分方程</t>
  </si>
  <si>
    <t>高于二阶的某些常系数齐次线性微分方程</t>
  </si>
  <si>
    <t>简单的二阶常系数非齐次线性微分方程</t>
  </si>
  <si>
    <t>欧拉（Euler）方程</t>
  </si>
  <si>
    <t>微分方程的简单应用</t>
  </si>
  <si>
    <t>线性代数（20%，30分）</t>
  </si>
  <si>
    <t>行列式</t>
  </si>
  <si>
    <t>行列式的概念和基本性质</t>
  </si>
  <si>
    <t>行列式按行（列）展开定理</t>
  </si>
  <si>
    <t>矩阵</t>
  </si>
  <si>
    <t>矩阵的概念</t>
  </si>
  <si>
    <t>矩阵的线性运算</t>
  </si>
  <si>
    <t>矩阵的乘法</t>
  </si>
  <si>
    <t>方阵的幂</t>
  </si>
  <si>
    <t>方阵乘积的行列式</t>
  </si>
  <si>
    <t>矩阵的转置</t>
  </si>
  <si>
    <t>逆矩阵的概念和性质</t>
  </si>
  <si>
    <t>矩阵可逆的充分必要条件</t>
  </si>
  <si>
    <t>伴随矩阵</t>
  </si>
  <si>
    <t>矩阵的初等变换</t>
  </si>
  <si>
    <t>初等矩阵</t>
  </si>
  <si>
    <t>矩阵的秩</t>
  </si>
  <si>
    <t>矩阵的等价</t>
  </si>
  <si>
    <t>分块矩阵及其运算</t>
  </si>
  <si>
    <t>向量</t>
  </si>
  <si>
    <t>向量的线性组合与线性表示</t>
  </si>
  <si>
    <t>向量组的线性相关与线性无关</t>
  </si>
  <si>
    <t>向量组的极大线性无关组</t>
  </si>
  <si>
    <t>等价向量组</t>
  </si>
  <si>
    <t>向量组的秩</t>
  </si>
  <si>
    <t>向量组的秩与矩阵的秩之间的关系</t>
  </si>
  <si>
    <t>向量空间及其相关概念</t>
  </si>
  <si>
    <t>n维向量空间的基变换和坐标变换</t>
  </si>
  <si>
    <t>过渡矩阵</t>
  </si>
  <si>
    <t>向量的内积</t>
  </si>
  <si>
    <t>线性无关向量组的正交规范化方法</t>
  </si>
  <si>
    <t>规范正交基</t>
  </si>
  <si>
    <t>正交矩阵及其性质</t>
  </si>
  <si>
    <t>线性方程组</t>
  </si>
  <si>
    <t>线性方程组的克拉默（Cramer）法则</t>
  </si>
  <si>
    <t>齐次线性方程组有非零解的充分必要条件</t>
  </si>
  <si>
    <t>非齐次线性方程组有解的充分必要条件</t>
  </si>
  <si>
    <t>线性方程组解的性质和解的结构</t>
  </si>
  <si>
    <t>齐次线性方程组的基础解系和通解</t>
  </si>
  <si>
    <t>解空间</t>
  </si>
  <si>
    <t>非齐次线性方程组的通解</t>
  </si>
  <si>
    <t>矩阵的特征值和特征向量</t>
  </si>
  <si>
    <t>矩阵的特征值和特征向量的概念、性质</t>
  </si>
  <si>
    <t>相似变换、相似矩阵的概念及性质</t>
  </si>
  <si>
    <t>矩阵可相似对角化的充分必要条件及相似对角矩阵</t>
  </si>
  <si>
    <t>实对称矩阵的特征值、特征向量及其相似对角矩阵</t>
  </si>
  <si>
    <t>二次型</t>
  </si>
  <si>
    <t>二次型及其矩阵表示</t>
  </si>
  <si>
    <t>合同变换与合同矩阵</t>
  </si>
  <si>
    <t>二次型的秩</t>
  </si>
  <si>
    <t>惯性定理</t>
  </si>
  <si>
    <t>二次型的标准形和规范形</t>
  </si>
  <si>
    <t>用正交变换和配方法化二次型为标准形</t>
  </si>
  <si>
    <t>二次型及其矩阵的正定性</t>
  </si>
  <si>
    <t>概率论（20%，30分）</t>
  </si>
  <si>
    <t>随机事件和概率</t>
  </si>
  <si>
    <t>随机事件与样本空间</t>
  </si>
  <si>
    <t>事件的关系与运算</t>
  </si>
  <si>
    <t>完备事件组</t>
  </si>
  <si>
    <t>概率的概念</t>
  </si>
  <si>
    <t>概率的基本性质</t>
  </si>
  <si>
    <t>古典型概率</t>
  </si>
  <si>
    <t>几何型概率</t>
  </si>
  <si>
    <t>条件概率</t>
  </si>
  <si>
    <t>概率的基本公式</t>
  </si>
  <si>
    <t>事件的独立性</t>
  </si>
  <si>
    <t>独立重复试验</t>
  </si>
  <si>
    <t>随机变量及其分布</t>
  </si>
  <si>
    <t>随机变量</t>
  </si>
  <si>
    <t>随机变量分布函数的概念及其性质</t>
  </si>
  <si>
    <t>离散型随机变量的概率分布</t>
  </si>
  <si>
    <t>连续型随机变量的概率密度</t>
  </si>
  <si>
    <t>常见随机变量的分布</t>
  </si>
  <si>
    <t>随机变量函数的分布</t>
  </si>
  <si>
    <t>多维随机变量及其分布</t>
  </si>
  <si>
    <t>二维离散型随机变量的概率分布、边缘分布和条件分布</t>
  </si>
  <si>
    <t>二维连续型随机变量的概率密度、边缘概率密度和条件密度</t>
  </si>
  <si>
    <t>随机变量的独立性和不相关性</t>
  </si>
  <si>
    <t>常用二维随机变量的分布</t>
  </si>
  <si>
    <t>两个及两个以上随机变量简单函数的分布</t>
  </si>
  <si>
    <t>随机变量的数字特征</t>
  </si>
  <si>
    <t>随机变量的数学期望（均值）、方差、标准差及其性质</t>
  </si>
  <si>
    <t>随机变量函数的数学期望</t>
  </si>
  <si>
    <t>矩、协方差、相关系数及其性质</t>
  </si>
  <si>
    <t>大数定律和中心极限定理</t>
  </si>
  <si>
    <t>切比雪夫（Chebyshev）不等式</t>
  </si>
  <si>
    <t>切比雪夫大数定律</t>
  </si>
  <si>
    <t>伯努利（Bernoulli）大数定律</t>
  </si>
  <si>
    <t>辛钦（Khinchin）大数定律</t>
  </si>
  <si>
    <t>棣莫弗-拉普拉斯（De Moivre-Laplace）定理</t>
  </si>
  <si>
    <t>列维-林德伯格（Levy-Lindeberg）定理</t>
  </si>
  <si>
    <t>数理统计的基本概念</t>
  </si>
  <si>
    <t>总体</t>
  </si>
  <si>
    <t>个体</t>
  </si>
  <si>
    <t>简单随机样本</t>
  </si>
  <si>
    <t>统计量</t>
  </si>
  <si>
    <t>样本均值</t>
  </si>
  <si>
    <t>样本方差和样本矩</t>
  </si>
  <si>
    <t>χ²分布</t>
  </si>
  <si>
    <t>t分布</t>
  </si>
  <si>
    <t>F分布</t>
  </si>
  <si>
    <t>分位数</t>
  </si>
  <si>
    <t>正态总体的常用抽样分布</t>
  </si>
  <si>
    <t>参数估计</t>
  </si>
  <si>
    <t>点估计的概念</t>
  </si>
  <si>
    <t>估计量与估计值</t>
  </si>
  <si>
    <t>矩估计法</t>
  </si>
  <si>
    <t>最大似然估计法</t>
  </si>
  <si>
    <t>估计量的评选标准</t>
  </si>
  <si>
    <t>区间估计的概念</t>
  </si>
  <si>
    <t>单个正态总体的均值和方差的区间估计</t>
  </si>
  <si>
    <t>两个正态总体的均值差和方差比的区间估计</t>
  </si>
  <si>
    <t>假设检验</t>
  </si>
  <si>
    <t>显著性检验</t>
  </si>
  <si>
    <t>假设检验的两类错误</t>
  </si>
  <si>
    <t>单个及两个正态总体的均值和方差的假设检验</t>
  </si>
  <si>
    <t>小节得分</t>
  </si>
  <si>
    <t>题号</t>
  </si>
  <si>
    <t>考点（即：小节）</t>
  </si>
  <si>
    <t>分数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</si>
  <si>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</si>
  <si>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</si>
  <si>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</si>
  <si>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</si>
  <si>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</si>
  <si>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</si>
  <si>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</si>
  <si>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</si>
  <si>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</si>
  <si>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</si>
  <si>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</si>
  <si>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</si>
  <si>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</si>
  <si>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向量；矩阵</t>
  </si>
  <si>
    <t>14</t>
  </si>
  <si>
    <t>随机变量及其分布；随机变量的数字特征</t>
  </si>
  <si>
    <t>15</t>
  </si>
  <si>
    <t>16</t>
  </si>
  <si>
    <t>函数，极限，连续；一元函数积分</t>
  </si>
  <si>
    <t>17</t>
  </si>
  <si>
    <t>18（1）</t>
  </si>
  <si>
    <t>18（2）</t>
  </si>
  <si>
    <t>19（1）</t>
  </si>
  <si>
    <t>19（2）</t>
  </si>
  <si>
    <t>20（1）</t>
  </si>
  <si>
    <t>矩阵；矩阵的特征值和特征向量</t>
  </si>
  <si>
    <t>20（2）</t>
  </si>
  <si>
    <t>21</t>
  </si>
  <si>
    <t>二次型；矩阵的特征值和特征向量</t>
  </si>
  <si>
    <t>22（1）</t>
  </si>
  <si>
    <t>22（2）</t>
  </si>
  <si>
    <t>23（Ⅰ）</t>
  </si>
  <si>
    <t>23（Ⅱ）</t>
  </si>
  <si>
    <t>23（Ⅲ）</t>
  </si>
  <si>
    <t>解答题合计</t>
  </si>
  <si>
    <t>全卷合计</t>
  </si>
  <si>
    <t>来源：2017.pdf（数学一）。题号及小问编号沿用附件；未编号的连续求解任务按原题列为一项。第1—14题各4分，第15—19题各10分，第20—23题各11分。大题分值采用卷面标注；小问分值按难度及工作量估分，并非官方评分细则。解答题合计94分，全卷150分。涉及两个小节时，各分配本行分数的一半。</t>
  </si>
  <si>
    <t>函数，极限，连续；一元函数微分</t>
  </si>
  <si>
    <t>多元函数微分；向量代数与空间解析几何</t>
  </si>
  <si>
    <t>向量代数与空间解析几何；向量</t>
  </si>
  <si>
    <t>常微分方程；一元函数积分</t>
  </si>
  <si>
    <t>多元函数微分；一元函数积分</t>
  </si>
  <si>
    <t>无穷级数；常微分方程</t>
  </si>
  <si>
    <t>18</t>
  </si>
  <si>
    <t>19（Ⅰ）</t>
  </si>
  <si>
    <t>19（Ⅱ）</t>
  </si>
  <si>
    <t>20（Ⅰ）</t>
  </si>
  <si>
    <t>20（Ⅱ）</t>
  </si>
  <si>
    <t>21（Ⅰ）</t>
  </si>
  <si>
    <t>21（Ⅱ）</t>
  </si>
  <si>
    <t>22（Ⅰ）</t>
  </si>
  <si>
    <t>22（Ⅱ）</t>
  </si>
  <si>
    <t>随机事件和概率；随机变量及其分布</t>
  </si>
  <si>
    <t>来源：2020.pdf（数学一）。题号及小问编号沿用附件；未编号的连续求解任务按原题列为一项。第1—14题各4分，第15—19题各10分，第20—23题各11分。大题分值采用卷面标注；小问分值按难度及工作量估分，并非官方评分细则。解答题合计94分，全卷150分。涉及两个小节时，各分配本行分数的一半。</t>
  </si>
  <si>
    <t>参数估计；随机变量的数字特征</t>
  </si>
  <si>
    <t>假设检验；数理统计的基本概念</t>
  </si>
  <si>
    <t>行列式；矩阵</t>
  </si>
  <si>
    <t>多维随机变量及其分布；随机变量的数字特征</t>
  </si>
  <si>
    <t>19</t>
  </si>
  <si>
    <t>21（1）</t>
  </si>
  <si>
    <t>21（2）</t>
  </si>
  <si>
    <t>矩阵的特征值和特征向量；二次型</t>
  </si>
  <si>
    <t>22（3）</t>
  </si>
  <si>
    <t>说明：第1—16题按每题5分计；第17—22题及各小问分数为按难度和小问数估计的分配，并非官方评分细则，解答题合计70分。来源：2021.pdf（数学一）。</t>
  </si>
  <si>
    <t>线性方程组；矩阵</t>
  </si>
  <si>
    <t>大数定律和中心极限定理；随机变量的数字特征</t>
  </si>
  <si>
    <t>常微分方程；一元函数微分</t>
  </si>
  <si>
    <t>20</t>
  </si>
  <si>
    <t>一元函数微分；一元函数积分</t>
  </si>
  <si>
    <t>22</t>
  </si>
  <si>
    <t>23</t>
  </si>
  <si>
    <t>二次型；线性方程组</t>
  </si>
  <si>
    <t>24</t>
  </si>
  <si>
    <t>说明：题号沿用附件2022.pdf；其中部分大题的小问已被附件连续编号，按原编号逐项列出。第1—16题每题5分；其余分数为按难度及小问工作量估计的分配，并非官方评分细则，解答题合计70分。</t>
  </si>
  <si>
    <t>一元函数微分；函数，极限，连续</t>
  </si>
  <si>
    <t>向量；线性方程组</t>
  </si>
  <si>
    <t>多维随机变量及其分布；随机变量及其分布</t>
  </si>
  <si>
    <t>25</t>
  </si>
  <si>
    <t>26</t>
  </si>
  <si>
    <t>27</t>
  </si>
  <si>
    <t>说明：题号沿用附件2023.pdf；其中部分大题的小问已被附件连续编号，按原编号逐项列出。第1—16题每题5分；其余分数为按难度及小问工作量估计的分配，并非官方评分细则，解答题合计70分。</t>
  </si>
  <si>
    <t>一元函数积分；函数，极限，连续</t>
  </si>
  <si>
    <t>无穷级数；函数，极限，连续</t>
  </si>
  <si>
    <t>一元函数积分；一元函数微分</t>
  </si>
  <si>
    <t>多元函数积分；向量代数与空间解析几何</t>
  </si>
  <si>
    <t>参数估计；数理统计的基本概念</t>
  </si>
  <si>
    <t>说明：题号沿用附件2024.pdf；其中部分大题的小问已被附件连续编号，按原编号逐项列出。第1—16题每题5分；其余分数为按难度及小问工作量估计的分配，并非官方评分细则，解答题合计70分。</t>
  </si>
  <si>
    <t>线性方程组；向量</t>
  </si>
  <si>
    <t>多元函数微分；常微分方程</t>
  </si>
  <si>
    <t>线性方程组；矩阵的特征值和特征向量</t>
  </si>
  <si>
    <t>多维随机变量及其分布；随机事件和概率</t>
  </si>
  <si>
    <t>说明：题号沿用附件2025.pdf；其中部分大题的小问已被附件连续编号，按原编号逐项列出。第1—16题每题5分；其余分数为按难度及小问工作量估计的分配，并非官方评分细则，解答题合计70分。</t>
  </si>
  <si>
    <t>408考研面板总分</t>
  </si>
  <si>
    <t>数据结构（30%，45分）</t>
  </si>
  <si>
    <t>基本概念</t>
  </si>
  <si>
    <t>数据结构的基本概念</t>
  </si>
  <si>
    <t>算法的基本概念</t>
  </si>
  <si>
    <t>线性表</t>
  </si>
  <si>
    <t>线性表的基本概念</t>
  </si>
  <si>
    <t>线性表的实现：顺序存储</t>
  </si>
  <si>
    <t>线性表的实现：链式存储</t>
  </si>
  <si>
    <t>线性表的应用</t>
  </si>
  <si>
    <t>栈、队列和数组</t>
  </si>
  <si>
    <t>栈和队列的基本概念</t>
  </si>
  <si>
    <t>栈和队列的顺序存储结构</t>
  </si>
  <si>
    <t>栈和队列的链式存储结构</t>
  </si>
  <si>
    <t>多维数组的存储</t>
  </si>
  <si>
    <t>特殊矩阵的压缩存储</t>
  </si>
  <si>
    <t>栈、队列和数组的应用</t>
  </si>
  <si>
    <t>树和二叉树</t>
  </si>
  <si>
    <t>树的基本概念</t>
  </si>
  <si>
    <t>二叉树的定义及其主要特性</t>
  </si>
  <si>
    <t>二叉树的顺序存储结构和链式存储结构</t>
  </si>
  <si>
    <t>二叉树的遍历</t>
  </si>
  <si>
    <t>线索二叉树的基本概念和构造</t>
  </si>
  <si>
    <t>树的存储结构</t>
  </si>
  <si>
    <t>森林与二叉树的转换</t>
  </si>
  <si>
    <t>树和森林的遍历</t>
  </si>
  <si>
    <t>哈夫曼（Huffman）树和哈夫曼编码</t>
  </si>
  <si>
    <t>并查集及其应用</t>
  </si>
  <si>
    <t>堆及其应用</t>
  </si>
  <si>
    <t>图</t>
  </si>
  <si>
    <t>图的基本概念</t>
  </si>
  <si>
    <t>图的存储及基本操作：邻接矩阵</t>
  </si>
  <si>
    <t>图的存储及基本操作：邻接表</t>
  </si>
  <si>
    <t>图的存储及基本操作：邻接多重表、十字链表</t>
  </si>
  <si>
    <t>图的遍历：深度优先搜索</t>
  </si>
  <si>
    <t>图的遍历：广度优先搜索</t>
  </si>
  <si>
    <t>最小（代价）生成树</t>
  </si>
  <si>
    <t>最短路径</t>
  </si>
  <si>
    <t>拓扑排序</t>
  </si>
  <si>
    <t>关键路径</t>
  </si>
  <si>
    <t>查找</t>
  </si>
  <si>
    <t>查找的基本概念</t>
  </si>
  <si>
    <t>顺序查找法</t>
  </si>
  <si>
    <t>分块查找法</t>
  </si>
  <si>
    <t>折半查找法</t>
  </si>
  <si>
    <t>二叉搜索树</t>
  </si>
  <si>
    <t>平衡二叉树</t>
  </si>
  <si>
    <t>红黑树</t>
  </si>
  <si>
    <t>B树及其基本操作、B+树的基本概念</t>
  </si>
  <si>
    <t>散列（Hash）表</t>
  </si>
  <si>
    <t>字符串模式匹配</t>
  </si>
  <si>
    <t>查找算法的分析及应用</t>
  </si>
  <si>
    <t>排序</t>
  </si>
  <si>
    <t>排序的基本概念</t>
  </si>
  <si>
    <t>直接插入排序</t>
  </si>
  <si>
    <t>折半插入排序</t>
  </si>
  <si>
    <t>起泡排序（Bubble Sort）</t>
  </si>
  <si>
    <t>简单选择排序</t>
  </si>
  <si>
    <t>希尔排序（Shell Sort）</t>
  </si>
  <si>
    <t>快速排序</t>
  </si>
  <si>
    <t>堆排序</t>
  </si>
  <si>
    <t>二路归并排序（Merge Sort）</t>
  </si>
  <si>
    <t>基数排序</t>
  </si>
  <si>
    <t>外部排序</t>
  </si>
  <si>
    <t>排序算法的分析与应用</t>
  </si>
  <si>
    <t>计算机组成原理（30%，45分）</t>
  </si>
  <si>
    <t>计算机系统概述</t>
  </si>
  <si>
    <t>计算机系统的基本组成</t>
  </si>
  <si>
    <t>计算机硬件的基本组成</t>
  </si>
  <si>
    <t>计算机软件和硬件的关系</t>
  </si>
  <si>
    <t>计算机系统的工作原理：“存储程序”工作方式，高级语言程序与机器语言程序之间的转换，程序和指令的执行过程</t>
  </si>
  <si>
    <t>计算机性能指标：吞吐量、响应时间；CPU时钟周期、主频、CPI、CPU执行时间；MIPS、MFLOPS、GFLOPS、TFLOPS、PFLOPS、EFLOPS、ZFLOPS</t>
  </si>
  <si>
    <t>数据的表示和运算</t>
  </si>
  <si>
    <t>进位计数制及其数据之间的相互转换</t>
  </si>
  <si>
    <t>定点数的编码表示</t>
  </si>
  <si>
    <t>基本运算部件：加法器，算术逻辑部件（ALU）</t>
  </si>
  <si>
    <t>加/减运算：补码加/减运算器，标志位的生成</t>
  </si>
  <si>
    <t>乘/除运算：乘/除法运算的基本原理，乘法电路和除法电路的基本结构</t>
  </si>
  <si>
    <t>无符号整数的表示和运算</t>
  </si>
  <si>
    <t>带符号整数的表示和运算</t>
  </si>
  <si>
    <t>浮点数的表示：IEEE754标准</t>
  </si>
  <si>
    <t>浮点数的加/减运算</t>
  </si>
  <si>
    <t>存储器层次结构</t>
  </si>
  <si>
    <t>存储器的分类</t>
  </si>
  <si>
    <t>层次化存储器的基本结构</t>
  </si>
  <si>
    <t>SRAM存储器</t>
  </si>
  <si>
    <t>DRAM存储器</t>
  </si>
  <si>
    <t>Flash存储器</t>
  </si>
  <si>
    <t>DRAM芯片和内存条</t>
  </si>
  <si>
    <t>多模块存储器</t>
  </si>
  <si>
    <t>主存和CPU之间的连接</t>
  </si>
  <si>
    <t>磁盘存储器</t>
  </si>
  <si>
    <t>固态硬盘（SSD）</t>
  </si>
  <si>
    <t>Cache的基本原理</t>
  </si>
  <si>
    <t>Cache和主存之间的映射方式</t>
  </si>
  <si>
    <t>Cache中主存块的替换算法</t>
  </si>
  <si>
    <t>Cache写策略</t>
  </si>
  <si>
    <t>虚拟存储器的基本概念</t>
  </si>
  <si>
    <t>页式虚拟存储器：基本原理，页表，地址转换，TLB（快表）</t>
  </si>
  <si>
    <t>段式虚拟存储器的基本原理</t>
  </si>
  <si>
    <t>段页式虚拟存储器的基本原理</t>
  </si>
  <si>
    <t>指令系统</t>
  </si>
  <si>
    <t>指令系统的基本概念</t>
  </si>
  <si>
    <t>指令格式</t>
  </si>
  <si>
    <t>寻址方式</t>
  </si>
  <si>
    <t>数据的对齐和大小端存放方式</t>
  </si>
  <si>
    <t>CISC和RISC的基本概念</t>
  </si>
  <si>
    <t>编译器、汇编器和链接器的基本概念</t>
  </si>
  <si>
    <t>选择结构语句的机器级表示</t>
  </si>
  <si>
    <t>循环结构语句的机器级表示</t>
  </si>
  <si>
    <t>过程（函数）调用对应的机器级表示</t>
  </si>
  <si>
    <t>中央处理器（CPU）</t>
  </si>
  <si>
    <t>CPU的功能和基本结构</t>
  </si>
  <si>
    <t>指令执行过程</t>
  </si>
  <si>
    <t>数据通路的功能和基本结构</t>
  </si>
  <si>
    <t>控制器的功能和工作原理</t>
  </si>
  <si>
    <t>异常和中断的基本概念</t>
  </si>
  <si>
    <t>异常和中断的分类</t>
  </si>
  <si>
    <t>异常和中断的检测与响应</t>
  </si>
  <si>
    <t>指令流水线的基本概念</t>
  </si>
  <si>
    <t>指令流水线的基本实现</t>
  </si>
  <si>
    <t>结构冒险、数据冒险和控制冒险的处理</t>
  </si>
  <si>
    <t>超标量和动态流水线的基本概念</t>
  </si>
  <si>
    <t>SISD、SIMD、MIMD、向量处理器的基本概念</t>
  </si>
  <si>
    <t>硬件多线程的基本概念</t>
  </si>
  <si>
    <t>多核（multi-core）处理器的基本概念</t>
  </si>
  <si>
    <t>共享内存多处理器（SMP）的基本概念</t>
  </si>
  <si>
    <t>总线和输入输出系统</t>
  </si>
  <si>
    <t>总线的基本概念</t>
  </si>
  <si>
    <t>总线的组成及性能指标</t>
  </si>
  <si>
    <t>总线事务和定时</t>
  </si>
  <si>
    <t>I/O接口的功能和基本结构</t>
  </si>
  <si>
    <t>I/O端口及其编址</t>
  </si>
  <si>
    <t>程序查询方式</t>
  </si>
  <si>
    <t>程序中断方式：中断的基本概念，中断响应过程，中断处理过程，多重中断和中断屏蔽的概念</t>
  </si>
  <si>
    <t>DMA方式：DMA控制器的组成，DMA传送过程</t>
  </si>
  <si>
    <t>操作系统（23.33%，35分）</t>
  </si>
  <si>
    <t>操作系统基础</t>
  </si>
  <si>
    <t>操作系统的基本概念</t>
  </si>
  <si>
    <t>操作系统发展历程</t>
  </si>
  <si>
    <t>CPU运行模式：内核模式，用户模式</t>
  </si>
  <si>
    <t>中断和异常的处理</t>
  </si>
  <si>
    <t>系统调用</t>
  </si>
  <si>
    <t>程序的链接与装入</t>
  </si>
  <si>
    <t>程序运行时内存映像与地址空间</t>
  </si>
  <si>
    <t>操作系统结构：分层，模块化，宏内核，微内核，外核</t>
  </si>
  <si>
    <t>操作系统引导</t>
  </si>
  <si>
    <t>虚拟机</t>
  </si>
  <si>
    <t>进程管理</t>
  </si>
  <si>
    <t>进程与线程的基本概念</t>
  </si>
  <si>
    <t>进程/线程的状态与转换</t>
  </si>
  <si>
    <t>线程的实现：内核支持的线程，线程库支持的线程</t>
  </si>
  <si>
    <t>进程与线程的组织与控制</t>
  </si>
  <si>
    <t>进程间通信：共享内存，消息传递，管道，信号</t>
  </si>
  <si>
    <t>CPU调度的基本概念</t>
  </si>
  <si>
    <t>CPU调度的目标</t>
  </si>
  <si>
    <t>CPU调度的实现：调度器/调度程序（scheduler），调度的时机与调度方式（抢占式/非抢占式），闲逛进程，内核级线程与用户级线程调度</t>
  </si>
  <si>
    <t>CPU调度算法</t>
  </si>
  <si>
    <t>多处理机调度</t>
  </si>
  <si>
    <t>上下文及其切换机制</t>
  </si>
  <si>
    <t>同步与互斥的基本概念</t>
  </si>
  <si>
    <t>同步与互斥的基本实现方法：软件方法，硬件方法</t>
  </si>
  <si>
    <t>锁</t>
  </si>
  <si>
    <t>信号量</t>
  </si>
  <si>
    <t>条件变量</t>
  </si>
  <si>
    <t>经典同步问题：生产者-消费者问题，读者-写者问题，哲学家进餐问题等</t>
  </si>
  <si>
    <t>死锁的基本概念</t>
  </si>
  <si>
    <t>死锁预防</t>
  </si>
  <si>
    <t>死锁避免</t>
  </si>
  <si>
    <t>死锁检测和解除</t>
  </si>
  <si>
    <t>内存管理</t>
  </si>
  <si>
    <t>内存管理的基本概念：逻辑地址空间与物理地址空间，地址变换，内存共享，内存保护，内存分配与回收</t>
  </si>
  <si>
    <t>连续分配管理方式</t>
  </si>
  <si>
    <t>页式管理</t>
  </si>
  <si>
    <t>段式管理</t>
  </si>
  <si>
    <t>段页式管理</t>
  </si>
  <si>
    <t>虚拟内存的基本概念</t>
  </si>
  <si>
    <t>请求页式管理</t>
  </si>
  <si>
    <t>页框分配与回收</t>
  </si>
  <si>
    <t>页置换算法</t>
  </si>
  <si>
    <t>内存映射文件（Memory-Mapped Files）</t>
  </si>
  <si>
    <t>虚拟存储器性能的影响因素及改进方法</t>
  </si>
  <si>
    <t>文件管理</t>
  </si>
  <si>
    <t>文件的基本概念</t>
  </si>
  <si>
    <t>文件元数据和索引节点（inode）</t>
  </si>
  <si>
    <t>文件的操作：建立，删除，打开，关闭，读，写</t>
  </si>
  <si>
    <t>文件的保护</t>
  </si>
  <si>
    <t>文件的逻辑结构</t>
  </si>
  <si>
    <t>文件的物理结构</t>
  </si>
  <si>
    <t>目录的基本概念</t>
  </si>
  <si>
    <t>树形目录</t>
  </si>
  <si>
    <t>目录的操作</t>
  </si>
  <si>
    <t>硬链接和软链接</t>
  </si>
  <si>
    <t>文件系统的全局结构（layout）：文件系统在外存中的结构，文件系统在内存中的结构</t>
  </si>
  <si>
    <t>外存空闲空间管理方法</t>
  </si>
  <si>
    <t>虚拟文件系统</t>
  </si>
  <si>
    <t>文件系统挂载（mounting）</t>
  </si>
  <si>
    <t>输入/输出（I/O）管理</t>
  </si>
  <si>
    <t>设备：设备的基本概念，设备的分类，I/O接口，I/O端口</t>
  </si>
  <si>
    <t>I/O控制方式：轮询方式，中断方式，DMA方式</t>
  </si>
  <si>
    <t>I/O软件层次结构：中断处理程序，驱动程序，设备独立软件，用户层I/O软件</t>
  </si>
  <si>
    <t>输入/输出应用程序接口：字符设备接口，块设备接口，网络设备接口，阻塞/非阻塞I/O</t>
  </si>
  <si>
    <t>缓冲区管理</t>
  </si>
  <si>
    <t>设备分配与回收</t>
  </si>
  <si>
    <t>假脱机技术（SPOOLing）</t>
  </si>
  <si>
    <t>设备驱动程序接口</t>
  </si>
  <si>
    <t>磁盘：磁盘结构，格式化，分区，磁盘调度方法</t>
  </si>
  <si>
    <t>固态硬盘：读写性能特性，磨损均衡</t>
  </si>
  <si>
    <t>计算机网络（16.67%，25分）</t>
  </si>
  <si>
    <t>计算机网络概述</t>
  </si>
  <si>
    <t>计算机网络的定义、组成与功能</t>
  </si>
  <si>
    <t>计算机网络的分类</t>
  </si>
  <si>
    <t>计算机网络主要性能指标</t>
  </si>
  <si>
    <t>计算机网络分层结构</t>
  </si>
  <si>
    <t>计算机网络协议、接口、服务等概念</t>
  </si>
  <si>
    <t>ISO/OSI参考模型和TCP/IP参考模型</t>
  </si>
  <si>
    <t>物理层</t>
  </si>
  <si>
    <t>信道、信号、带宽、码元、波特、速率、信源与信宿等基本概念</t>
  </si>
  <si>
    <t>奈奎斯特定理与香农定理</t>
  </si>
  <si>
    <t>编码与调制</t>
  </si>
  <si>
    <t>电路交换、报文交换与分组交换</t>
  </si>
  <si>
    <t>数据报与虚电路</t>
  </si>
  <si>
    <t>双绞线、同轴电缆、光纤与无线传输介质</t>
  </si>
  <si>
    <t>物理层接口的特性</t>
  </si>
  <si>
    <t>中继器</t>
  </si>
  <si>
    <t>集线器</t>
  </si>
  <si>
    <t>数据链路层</t>
  </si>
  <si>
    <t>数据链路层的功能</t>
  </si>
  <si>
    <t>组帧</t>
  </si>
  <si>
    <t>检错编码</t>
  </si>
  <si>
    <t>纠错编码</t>
  </si>
  <si>
    <t>流量控制、可靠传输与滑动窗口机制</t>
  </si>
  <si>
    <t>停止-等待协议</t>
  </si>
  <si>
    <t>后退N帧协议（GBN）</t>
  </si>
  <si>
    <t>选择重传协议（SR）</t>
  </si>
  <si>
    <t>信道划分：频分多路复用，时分多路复用，波分多路复用，码分复用的概念和基本原理</t>
  </si>
  <si>
    <t>随机访问：ALOHA协议，CSMA协议，CSMA/CD协议，CSMA/CA协议</t>
  </si>
  <si>
    <t>轮询访问：令牌传递协议</t>
  </si>
  <si>
    <t>局域网的基本概念与体系结构</t>
  </si>
  <si>
    <t>以太网与IEEE802.3</t>
  </si>
  <si>
    <t>IEEE802.11无线局域网</t>
  </si>
  <si>
    <t>VLAN基本概念与基本原理</t>
  </si>
  <si>
    <t>广域网的基本概念</t>
  </si>
  <si>
    <t>PPP协议</t>
  </si>
  <si>
    <t>以太网交换机及其工作原理</t>
  </si>
  <si>
    <t>网络层</t>
  </si>
  <si>
    <t>异构网络互连</t>
  </si>
  <si>
    <t>路由与转发</t>
  </si>
  <si>
    <t>SDN基本概念</t>
  </si>
  <si>
    <t>拥塞控制</t>
  </si>
  <si>
    <t>静态路由与动态路由</t>
  </si>
  <si>
    <t>距离-向量路由算法</t>
  </si>
  <si>
    <t>链路状态路由算法</t>
  </si>
  <si>
    <t>层次路由</t>
  </si>
  <si>
    <t>IPv4分组</t>
  </si>
  <si>
    <t>IPv4地址与NAT</t>
  </si>
  <si>
    <t>子网划分、路由聚集、子网掩码与CIDR</t>
  </si>
  <si>
    <t>ARP协议、DHCP协议、ICMP协议</t>
  </si>
  <si>
    <t>IPv6的主要特点</t>
  </si>
  <si>
    <t>IPv6地址</t>
  </si>
  <si>
    <t>自治系统</t>
  </si>
  <si>
    <t>域内路由与域间路由</t>
  </si>
  <si>
    <t>RIP路由协议</t>
  </si>
  <si>
    <t>OSPF路由协议</t>
  </si>
  <si>
    <t>BGP路由协议</t>
  </si>
  <si>
    <t>组播的概念</t>
  </si>
  <si>
    <t>IP组播地址</t>
  </si>
  <si>
    <t>移动IP的概念</t>
  </si>
  <si>
    <t>移动IP通信过程</t>
  </si>
  <si>
    <t>路由器的组成和功能</t>
  </si>
  <si>
    <t>路由表与路由转发</t>
  </si>
  <si>
    <t>传输层</t>
  </si>
  <si>
    <t>传输层的功能</t>
  </si>
  <si>
    <t>传输层寻址与端口</t>
  </si>
  <si>
    <t>无连接服务与面向连接服务</t>
  </si>
  <si>
    <t>UDP数据段</t>
  </si>
  <si>
    <t>UDP校验</t>
  </si>
  <si>
    <t>TCP段</t>
  </si>
  <si>
    <t>TCP连接管理</t>
  </si>
  <si>
    <t>TCP可靠传输</t>
  </si>
  <si>
    <t>TCP流量控制</t>
  </si>
  <si>
    <t>TCP拥塞控制</t>
  </si>
  <si>
    <t>应用层</t>
  </si>
  <si>
    <t>客户/服务器（C/S）模型</t>
  </si>
  <si>
    <t>对等（P2P）模型</t>
  </si>
  <si>
    <t>层次域名空间</t>
  </si>
  <si>
    <t>域名服务器</t>
  </si>
  <si>
    <t>域名解析过程</t>
  </si>
  <si>
    <t>FTP协议的工作原理</t>
  </si>
  <si>
    <t>FTP控制连接与数据连接</t>
  </si>
  <si>
    <t>电子邮件系统的组成结构</t>
  </si>
  <si>
    <t>电子邮件格式与MIME</t>
  </si>
  <si>
    <t>SMTP协议与POP3协议</t>
  </si>
  <si>
    <t>WWW的概念与组成结构</t>
  </si>
  <si>
    <t>HTTP协议</t>
  </si>
  <si>
    <t>年份</t>
  </si>
  <si>
    <t>权重</t>
  </si>
  <si>
    <t>年度得分来源：同目录“考点分布.xlsx”，每题分数在其核心小节间均分。
小节分数为2017—2025年加权平均，显示1位小数；单节点分数显示2位小数，计算保留完整精度。
掌握度按0—100填写；板块总分和面板总分随掌握度自动更新。2016年无真题数据，不参与计算。</t>
  </si>
  <si>
    <t>权重合计</t>
  </si>
  <si>
    <t>进程管理；线性表</t>
  </si>
  <si>
    <t>28</t>
  </si>
  <si>
    <t>29</t>
  </si>
  <si>
    <t>30</t>
  </si>
  <si>
    <t>31</t>
  </si>
  <si>
    <t>32</t>
  </si>
  <si>
    <t>33</t>
  </si>
  <si>
    <t>物理层；计算机网络概述</t>
  </si>
  <si>
    <t>34</t>
  </si>
  <si>
    <t>35</t>
  </si>
  <si>
    <t>36</t>
  </si>
  <si>
    <t>37</t>
  </si>
  <si>
    <t>网络层；传输层</t>
  </si>
  <si>
    <t>38</t>
  </si>
  <si>
    <t>39</t>
  </si>
  <si>
    <t>40</t>
  </si>
  <si>
    <t>41（1）</t>
  </si>
  <si>
    <t>41（2）</t>
  </si>
  <si>
    <t>41（3）</t>
  </si>
  <si>
    <t>42（1）</t>
  </si>
  <si>
    <t>42（2）</t>
  </si>
  <si>
    <t>42（3）</t>
  </si>
  <si>
    <t>42（4）</t>
  </si>
  <si>
    <t>43（1）</t>
  </si>
  <si>
    <t>43（2）</t>
  </si>
  <si>
    <t>43（3）</t>
  </si>
  <si>
    <t>43（4）</t>
  </si>
  <si>
    <t>44（1）</t>
  </si>
  <si>
    <t>44（2）</t>
  </si>
  <si>
    <t>数据的表示和运算；中央处理器（CPU）</t>
  </si>
  <si>
    <t>45</t>
  </si>
  <si>
    <t>46（1）</t>
  </si>
  <si>
    <t>操作系统基础；进程管理</t>
  </si>
  <si>
    <t>46（2）</t>
  </si>
  <si>
    <t>操作系统基础；输入/输出（I/O）管理</t>
  </si>
  <si>
    <t>46（3）</t>
  </si>
  <si>
    <t>47（1）</t>
  </si>
  <si>
    <t>47（2）</t>
  </si>
  <si>
    <t>47（3）</t>
  </si>
  <si>
    <t>来源：真题/408/2025.pdf。各题及小问分值均采用附件标注值，未估分。每道选择题一行，有编号的小问分别列示；同一题最多对应两个核心小节，以中文分号分隔。小节名称按2026年408内容面板。</t>
  </si>
  <si>
    <t>指令系统；中央处理器（CPU）</t>
  </si>
  <si>
    <t>数据链路层；网络层</t>
  </si>
  <si>
    <t>中央处理器（CPU）；数据的表示和运算</t>
  </si>
  <si>
    <t>43（5）</t>
  </si>
  <si>
    <t>指令系统；存储器层次结构</t>
  </si>
  <si>
    <t>44（3）</t>
  </si>
  <si>
    <t>45（1）</t>
  </si>
  <si>
    <t>45（2）</t>
  </si>
  <si>
    <t>47（4）</t>
  </si>
  <si>
    <t>47（5）</t>
  </si>
  <si>
    <t>来源：真题/408/2024.pdf。各题及小问分值均采用附件标注值，未估分。每道选择题一行，有编号的小问分别列示；同一题最多对应两个核心小节，以中文分号分隔。小节名称按2026年408内容面板。</t>
  </si>
  <si>
    <t>44（4）</t>
  </si>
  <si>
    <t>进程管理；输入/输出（I/O）管理</t>
  </si>
  <si>
    <t>46（4）</t>
  </si>
  <si>
    <t>进程管理；操作系统基础</t>
  </si>
  <si>
    <t>来源：真题/408/2023.pdf。附件仅标注各大题总分；41—47题全部小问分值按作答量及难度估计，非官方细则，各题小问之和与原题总分一致。每道选择题一行，有编号的小问分别列示；同一题最多对应两个核心小节，以中文分号分隔。小节名称按2026年408内容面板。</t>
  </si>
  <si>
    <t>应用层；传输层</t>
  </si>
  <si>
    <t>树和二叉树；查找</t>
  </si>
  <si>
    <t>45（3）</t>
  </si>
  <si>
    <t>45（4）</t>
  </si>
  <si>
    <t>46</t>
  </si>
  <si>
    <t>数据链路层；物理层</t>
  </si>
  <si>
    <t>网络层；数据链路层</t>
  </si>
  <si>
    <t>来源：真题/408/2022.pdf。大题分值采用附件标注值；未标注的小问按作答量和难度估分，非官方细则，各题小问之和与原题总分一致。每道选择题一行，有编号的小问分别列示；同一题最多对应两个核心小节，以中文分号分隔。小节名称按2026年408内容面板。</t>
  </si>
  <si>
    <t>中央处理器（CPU）；存储器层次结构</t>
  </si>
  <si>
    <t>指令系统；数据的表示和运算</t>
  </si>
  <si>
    <t>输入/输出（I/O）管理；文件管理</t>
  </si>
  <si>
    <t>应用层；计算机网络概述</t>
  </si>
  <si>
    <t>来源：真题/408/2021.pdf。附件第43题标13分，导致大题合计68分；依据厦门工学院公开同年试卷第7页改按15分。核对来源：https://www.xit.edu.cn/_upload/article/files/c1/ce/26986f79493495bbaacba9738587/0e9fd86a-0d3e-48b9-91a1-485e61cc9cc3.pdf 。各小问按作答量和难度估分，非官方细则；综合题合计70分。每道选择题一行，有编号的小问分别列示；同一题最多对应两个核心小节，以中文分号分隔。小节名称按2026年408内容面板。</t>
  </si>
  <si>
    <t>来源：真题/408/2020.pdf。大题分值采用附件标注值；未标注的小问按作答量和难度估分，非官方细则，各题小问之和与原题总分一致。每道选择题一行，有编号的小问分别列示；同一题最多对应两个核心小节，以中文分号分隔。小节名称按2026年408内容面板。</t>
  </si>
  <si>
    <t>43</t>
  </si>
  <si>
    <t>45（5）</t>
  </si>
  <si>
    <t>来源：真题/408/2019.pdf。大题分值采用附件标注值；未标注的小问按作答量和难度估分，非官方细则。第43、46题未分编号小问，分别整题记录8、7分，不再重复拆分。每道选择题一行，有编号的小问分别列示；同一题最多对应两个核心小节，以中文分号分隔。小节名称按2026年408内容面板。</t>
  </si>
  <si>
    <t>数据的表示和运算；指令系统</t>
  </si>
  <si>
    <t>内存管理；进程管理</t>
  </si>
  <si>
    <t>来源：真题/408/2018.pdf。大题分值采用附件标注值；未标注的小问按作答量和难度估分，非官方细则，各题小问之和与原题总分一致。每道选择题一行，有编号的小问分别列示；同一题最多对应两个核心小节，以中文分号分隔。小节名称按2026年408内容面板。</t>
  </si>
  <si>
    <t>存储器层次结构；指令系统</t>
  </si>
  <si>
    <t>存储器层次结构；中央处理器（CPU）</t>
  </si>
  <si>
    <t>来源：真题/408/2017.pdf。大题分值采用附件标注值；未标注的小问按作答量和难度估分，非官方细则，各题小问之和与原题总分一致。第46题未分编号小问，整题记录8分。每道选择题一行，有编号的小问分别列示；同一题最多对应两个核心小节，以中文分号分隔。小节名称按2026年408内容面板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</si>
</sst>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21">
    <font>
      <sz val="11"/>
      <name val="Carlito"/>
    </font>
    <font>
      <sz val="11"/>
      <name val="Carlito"/>
    </font>
    <font>
      <sz val="10"/>
      <color theme="1"/>
      <name val="Calibri"/>
      <family val="2"/>
      <charset val="134"/>
      <scheme val="minor"/>
    </font>
    <font>
      <b/>
      <sz val="11"/>
      <name val="Microsoft YaHei"/>
      <family val="2"/>
      <charset val="134"/>
    </font>
    <font>
      <sz val="9"/>
      <name val="宋体"/>
      <family val="3"/>
      <charset val="134"/>
    </font>
    <font>
      <sz val="9"/>
      <name val="Calibri"/>
      <family val="2"/>
      <charset val="134"/>
      <scheme val="minor"/>
    </font>
    <font>
      <b/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theme="1"/>
      <name val="Microsoft YaHei"/>
      <family val="2"/>
      <charset val="134"/>
    </font>
    <font>
      <b/>
      <sz val="10"/>
      <name val="Microsoft YaHei"/>
      <family val="2"/>
      <charset val="134"/>
    </font>
    <font>
      <b/>
      <sz val="10"/>
      <color theme="1"/>
      <name val="Calibri"/>
      <family val="2"/>
      <charset val="134"/>
      <scheme val="minor"/>
    </font>
    <font>
      <b/>
      <sz val="10"/>
      <name val="Microsoft YaHei"/>
      <family val="3"/>
      <charset val="134"/>
    </font>
    <font>
      <b/>
      <sz val="10"/>
      <name val="Calibri"/>
      <family val="2"/>
    </font>
    <font>
      <sz val="10"/>
      <name val="Calibri"/>
      <family val="2"/>
    </font>
    <font>
      <sz val="11"/>
      <name val="Microsoft YaHei"/>
      <family val="2"/>
      <charset val="134"/>
    </font>
    <font>
      <sz val="10"/>
      <color rgb="FF595959"/>
      <name val="Microsoft YaHei"/>
      <family val="2"/>
      <charset val="134"/>
    </font>
    <font>
      <b/>
      <sz val="11"/>
      <color rgb="FF000000"/>
      <name val="Microsoft YaHei"/>
      <family val="2"/>
      <charset val="134"/>
    </font>
    <font>
      <sz val="11"/>
      <color rgb="FF000000"/>
      <name val="Microsoft YaHei"/>
      <family val="2"/>
      <charset val="134"/>
    </font>
    <font>
      <b/>
      <sz val="10"/>
      <color rgb="FF000000"/>
      <name val="等线"/>
      <family val="3"/>
      <charset val="134"/>
    </font>
    <font>
      <sz val="10"/>
      <color rgb="FF000000"/>
      <name val="Microsoft YaHei"/>
      <family val="2"/>
      <charset val="134"/>
    </font>
    <font>
      <b/>
      <sz val="10"/>
      <color theme="1"/>
      <name val="等线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29C7FF"/>
        <bgColor indexed="64"/>
      </patternFill>
    </fill>
    <fill>
      <patternFill patternType="solid">
        <fgColor rgb="FF99BEFF"/>
      </patternFill>
    </fill>
    <fill>
      <patternFill patternType="solid">
        <fgColor rgb="FF99DDFF"/>
      </patternFill>
    </fill>
    <fill>
      <patternFill patternType="solid">
        <fgColor rgb="FFC7ECFF"/>
      </patternFill>
    </fill>
    <fill>
      <patternFill patternType="solid">
        <fgColor rgb="FFE5F6FF"/>
      </patternFill>
    </fill>
    <fill>
      <patternFill patternType="solid">
        <fgColor rgb="FF29C7FF"/>
      </patternFill>
    </fill>
  </fills>
  <borders count="2">
    <border>
      <left/>
      <right/>
      <top/>
      <bottom/>
      <diagonal/>
    </border>
    <border>
      <left/>
      <right/>
      <top style="thin">
        <color rgb="FF99BEFF"/>
      </top>
      <bottom/>
      <diagonal/>
    </border>
  </borders>
  <cellStyleXfs count="4">
    <xf numFmtId="0" fontId="0" fillId="0" borderId="0"/>
    <xf numFmtId="0" fontId="1" fillId="0" borderId="0"/>
    <xf numFmtId="0" fontId="2" fillId="0" borderId="0">
      <alignment vertical="center"/>
    </xf>
    <xf numFmtId="0" fontId="14" fillId="0" borderId="0">
      <alignment vertical="center"/>
    </xf>
  </cellStyleXfs>
  <cellXfs count="63">
    <xf numFmtId="0" fontId="0" fillId="0" borderId="0" xfId="0"/>
    <xf numFmtId="0" fontId="3" fillId="2" borderId="0" xfId="2" applyFont="1" applyFill="1" applyAlignment="1">
      <alignment horizontal="center" vertical="center"/>
    </xf>
    <xf numFmtId="0" fontId="7" fillId="0" borderId="0" xfId="2" applyFont="1">
      <alignment vertical="center"/>
    </xf>
    <xf numFmtId="0" fontId="2" fillId="0" borderId="0" xfId="2">
      <alignment vertical="center"/>
    </xf>
    <xf numFmtId="0" fontId="8" fillId="0" borderId="0" xfId="2" applyFont="1">
      <alignment vertical="center"/>
    </xf>
    <xf numFmtId="0" fontId="3" fillId="4" borderId="0" xfId="2" applyFont="1" applyFill="1" applyAlignment="1">
      <alignment horizontal="center" vertical="center"/>
    </xf>
    <xf numFmtId="0" fontId="6" fillId="0" borderId="0" xfId="2" applyFont="1" applyAlignment="1">
      <alignment horizontal="left" vertical="center"/>
    </xf>
    <xf numFmtId="0" fontId="9" fillId="0" borderId="0" xfId="2" applyFont="1">
      <alignment vertical="center"/>
    </xf>
    <xf numFmtId="0" fontId="3" fillId="5" borderId="0" xfId="2" applyFont="1" applyFill="1" applyAlignment="1">
      <alignment horizontal="center" vertical="center"/>
    </xf>
    <xf numFmtId="0" fontId="3" fillId="6" borderId="0" xfId="2" applyFont="1" applyFill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3" fillId="4" borderId="0" xfId="3" applyFont="1" applyFill="1" applyAlignment="1">
      <alignment horizontal="center" vertical="center"/>
    </xf>
    <xf numFmtId="0" fontId="14" fillId="0" borderId="0" xfId="3">
      <alignment vertical="center"/>
    </xf>
    <xf numFmtId="0" fontId="14" fillId="0" borderId="0" xfId="3" applyAlignment="1">
      <alignment horizontal="center" vertical="center"/>
    </xf>
    <xf numFmtId="0" fontId="14" fillId="0" borderId="0" xfId="3" applyAlignment="1">
      <alignment vertical="center" wrapText="1"/>
    </xf>
    <xf numFmtId="1" fontId="14" fillId="0" borderId="0" xfId="3" applyNumberFormat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3" fillId="0" borderId="1" xfId="3" applyFont="1" applyBorder="1">
      <alignment vertical="center"/>
    </xf>
    <xf numFmtId="1" fontId="3" fillId="0" borderId="1" xfId="3" applyNumberFormat="1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0" borderId="0" xfId="3" applyFont="1">
      <alignment vertical="center"/>
    </xf>
    <xf numFmtId="1" fontId="3" fillId="0" borderId="0" xfId="3" applyNumberFormat="1" applyFont="1" applyAlignment="1">
      <alignment horizontal="center" vertical="center"/>
    </xf>
    <xf numFmtId="0" fontId="16" fillId="7" borderId="0" xfId="1" applyFont="1" applyFill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0" fontId="16" fillId="4" borderId="0" xfId="1" applyFont="1" applyFill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0" fontId="16" fillId="6" borderId="0" xfId="1" applyFont="1" applyFill="1" applyAlignment="1">
      <alignment horizontal="center" vertical="center" wrapText="1"/>
    </xf>
    <xf numFmtId="0" fontId="6" fillId="0" borderId="0" xfId="1" applyFont="1" applyAlignment="1">
      <alignment horizontal="left" vertical="center" wrapText="1"/>
    </xf>
    <xf numFmtId="176" fontId="18" fillId="0" borderId="0" xfId="1" applyNumberFormat="1" applyFont="1" applyAlignment="1">
      <alignment horizontal="center" vertical="center" wrapText="1"/>
    </xf>
    <xf numFmtId="1" fontId="18" fillId="0" borderId="0" xfId="1" applyNumberFormat="1" applyFont="1" applyAlignment="1">
      <alignment horizontal="center" vertical="center" wrapText="1"/>
    </xf>
    <xf numFmtId="2" fontId="18" fillId="0" borderId="0" xfId="1" applyNumberFormat="1" applyFont="1" applyAlignment="1">
      <alignment horizontal="center" vertical="center" wrapText="1"/>
    </xf>
    <xf numFmtId="1" fontId="19" fillId="0" borderId="0" xfId="1" applyNumberFormat="1" applyFont="1" applyAlignment="1">
      <alignment horizontal="center" vertical="center" wrapText="1"/>
    </xf>
    <xf numFmtId="0" fontId="16" fillId="6" borderId="0" xfId="1" applyFont="1" applyFill="1" applyAlignment="1">
      <alignment horizontal="center" vertical="center"/>
    </xf>
    <xf numFmtId="1" fontId="17" fillId="0" borderId="0" xfId="1" applyNumberFormat="1" applyFont="1" applyAlignment="1">
      <alignment horizontal="center" vertical="center"/>
    </xf>
    <xf numFmtId="177" fontId="17" fillId="0" borderId="0" xfId="1" applyNumberFormat="1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6" fillId="4" borderId="0" xfId="1" applyFont="1" applyFill="1" applyAlignment="1">
      <alignment horizontal="center" vertical="center"/>
    </xf>
    <xf numFmtId="49" fontId="17" fillId="0" borderId="0" xfId="1" applyNumberFormat="1" applyFont="1" applyAlignment="1">
      <alignment horizontal="center" vertical="center"/>
    </xf>
    <xf numFmtId="0" fontId="17" fillId="0" borderId="0" xfId="1" applyFont="1" applyAlignment="1">
      <alignment horizontal="left" vertical="center" wrapText="1"/>
    </xf>
    <xf numFmtId="1" fontId="16" fillId="0" borderId="1" xfId="1" applyNumberFormat="1" applyFont="1" applyBorder="1" applyAlignment="1">
      <alignment horizontal="center" vertical="center"/>
    </xf>
    <xf numFmtId="1" fontId="16" fillId="0" borderId="0" xfId="1" applyNumberFormat="1" applyFont="1" applyAlignment="1">
      <alignment horizontal="center" vertical="center"/>
    </xf>
    <xf numFmtId="176" fontId="20" fillId="0" borderId="0" xfId="2" applyNumberFormat="1" applyFont="1" applyAlignment="1">
      <alignment horizontal="center" vertical="center"/>
    </xf>
    <xf numFmtId="0" fontId="20" fillId="0" borderId="0" xfId="2" applyFont="1" applyAlignment="1">
      <alignment horizontal="center" vertical="center"/>
    </xf>
    <xf numFmtId="2" fontId="20" fillId="0" borderId="0" xfId="2" applyNumberFormat="1" applyFont="1" applyAlignment="1">
      <alignment horizontal="center" vertical="center"/>
    </xf>
    <xf numFmtId="0" fontId="3" fillId="3" borderId="0" xfId="2" applyFont="1" applyFill="1" applyAlignment="1">
      <alignment horizontal="center" vertical="center"/>
    </xf>
    <xf numFmtId="0" fontId="2" fillId="0" borderId="0" xfId="2">
      <alignment vertical="center"/>
    </xf>
    <xf numFmtId="2" fontId="6" fillId="0" borderId="0" xfId="2" applyNumberFormat="1" applyFont="1" applyAlignment="1">
      <alignment horizontal="center" vertical="center"/>
    </xf>
    <xf numFmtId="0" fontId="3" fillId="5" borderId="0" xfId="2" applyFont="1" applyFill="1" applyAlignment="1">
      <alignment horizontal="center" vertical="center"/>
    </xf>
    <xf numFmtId="0" fontId="2" fillId="0" borderId="0" xfId="2" applyAlignment="1">
      <alignment vertical="center" wrapText="1"/>
    </xf>
    <xf numFmtId="0" fontId="10" fillId="0" borderId="0" xfId="2" applyFont="1" applyAlignment="1">
      <alignment horizontal="center" vertical="center"/>
    </xf>
    <xf numFmtId="0" fontId="7" fillId="0" borderId="0" xfId="2" applyFont="1">
      <alignment vertical="center"/>
    </xf>
    <xf numFmtId="2" fontId="17" fillId="0" borderId="0" xfId="1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0" fontId="16" fillId="3" borderId="0" xfId="1" applyFont="1" applyFill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0" fontId="15" fillId="0" borderId="0" xfId="1" applyFont="1" applyAlignment="1">
      <alignment horizontal="left" vertical="center" wrapText="1"/>
    </xf>
    <xf numFmtId="0" fontId="15" fillId="0" borderId="0" xfId="3" applyFont="1" applyAlignment="1">
      <alignment vertical="center" wrapText="1"/>
    </xf>
    <xf numFmtId="0" fontId="16" fillId="0" borderId="1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</cellXfs>
  <cellStyles count="4">
    <cellStyle name="Normal" xfId="1" xr:uid="{00000000-0005-0000-0000-000000000000}"/>
    <cellStyle name="常规" xfId="0" builtinId="0"/>
    <cellStyle name="常规 2" xfId="2" xr:uid="{2D8E49D0-86FF-42FB-861C-122323266B61}"/>
    <cellStyle name="常规 3" xfId="3" xr:uid="{4DE21159-F103-4F8D-BAC3-83CC098D97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EAB0-82EF-43F1-B820-1B767143A0F7}">
  <sheetPr>
    <tabColor rgb="FFFFC000"/>
  </sheetPr>
  <dimension ref="A1:Z201"/>
  <sheetViews>
    <sheetView workbookViewId="0">
      <selection activeCell="F7" sqref="F7"/>
    </sheetView>
  </sheetViews>
  <sheetFormatPr defaultColWidth="12.9140625" defaultRowHeight="14.5"/>
  <cols>
    <col min="1" max="1" width="22.6640625" style="2" customWidth="1"/>
    <col min="2" max="4" width="12.58203125" style="10" customWidth="1"/>
    <col min="5" max="6" width="16.25" style="2" customWidth="1"/>
    <col min="7" max="26" width="12.58203125" style="2" customWidth="1"/>
    <col min="27" max="16384" width="12.9140625" style="3"/>
  </cols>
  <sheetData>
    <row r="1" spans="1:26" ht="30" customHeight="1">
      <c r="A1" s="1" t="s">
        <v>0</v>
      </c>
      <c r="B1" s="50">
        <f>SUM(B3,B21,B35)</f>
        <v>0</v>
      </c>
      <c r="C1" s="50"/>
      <c r="D1" s="50"/>
      <c r="E1" s="50"/>
    </row>
    <row r="2" spans="1:26" ht="30" customHeight="1">
      <c r="A2" s="48" t="s">
        <v>1</v>
      </c>
      <c r="B2" s="48"/>
      <c r="C2" s="49"/>
      <c r="D2" s="49"/>
      <c r="E2" s="4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6" ht="22.5" customHeight="1">
      <c r="A3" s="5" t="s">
        <v>2</v>
      </c>
      <c r="B3" s="50">
        <f>SUM(F5:V5)*0.01*D5+SUM(F7:X7)*0.01*D7+SUM(F9:P9)*0.01*D9+SUM(F11:Y11)*0.01*D11+SUM(F13:S13)*0.01*D13+SUM(F15:Q15)*0.01*D15+SUM(F17:V17)*0.01*D17+SUM(F19:S19)*0.01*D19</f>
        <v>0</v>
      </c>
      <c r="C3" s="50"/>
      <c r="D3" s="50"/>
      <c r="E3" s="50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7"/>
      <c r="X3" s="4"/>
      <c r="Y3" s="4"/>
    </row>
    <row r="4" spans="1:26" ht="22.5" customHeight="1">
      <c r="A4" s="51" t="s">
        <v>3</v>
      </c>
      <c r="B4" s="9" t="s">
        <v>4</v>
      </c>
      <c r="C4" s="9" t="s">
        <v>5</v>
      </c>
      <c r="D4" s="9" t="s">
        <v>6</v>
      </c>
      <c r="E4" s="8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7"/>
      <c r="X4" s="4"/>
      <c r="Y4" s="4"/>
    </row>
    <row r="5" spans="1:26" ht="22.5" customHeight="1">
      <c r="A5" s="52"/>
      <c r="B5" s="45">
        <f>ROUND('数学-小节得分-2017'!B3*10%+'数学-小节得分-2020'!B3*12.5%+'数学-小节得分-2021'!B3*13.5%+'数学-小节得分-2022'!B3*14.5%+'数学-小节得分-2023'!B3*15.5%+'数学-小节得分-2024'!B3*16.5%+'数学-小节得分-2025'!B3*17.5%,1)</f>
        <v>9.1999999999999993</v>
      </c>
      <c r="C5" s="46">
        <f>COUNTA(F4:Y4)</f>
        <v>17</v>
      </c>
      <c r="D5" s="47">
        <f>ROUND(B5/C5,2)</f>
        <v>0.54</v>
      </c>
      <c r="E5" s="8" t="s">
        <v>25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/>
      <c r="X5" s="11"/>
      <c r="Y5" s="11"/>
      <c r="Z5" s="11"/>
    </row>
    <row r="6" spans="1:26" ht="22.5" customHeight="1">
      <c r="A6" s="51" t="s">
        <v>26</v>
      </c>
      <c r="B6" s="9" t="s">
        <v>4</v>
      </c>
      <c r="C6" s="9" t="s">
        <v>5</v>
      </c>
      <c r="D6" s="9" t="s">
        <v>6</v>
      </c>
      <c r="E6" s="8" t="s">
        <v>7</v>
      </c>
      <c r="F6" s="6" t="s">
        <v>27</v>
      </c>
      <c r="G6" s="6" t="s">
        <v>28</v>
      </c>
      <c r="H6" s="6" t="s">
        <v>29</v>
      </c>
      <c r="I6" s="6" t="s">
        <v>30</v>
      </c>
      <c r="J6" s="6" t="s">
        <v>31</v>
      </c>
      <c r="K6" s="6" t="s">
        <v>32</v>
      </c>
      <c r="L6" s="6" t="s">
        <v>33</v>
      </c>
      <c r="M6" s="6" t="s">
        <v>34</v>
      </c>
      <c r="N6" s="6" t="s">
        <v>35</v>
      </c>
      <c r="O6" s="6" t="s">
        <v>36</v>
      </c>
      <c r="P6" s="6" t="s">
        <v>37</v>
      </c>
      <c r="Q6" s="6" t="s">
        <v>38</v>
      </c>
      <c r="R6" s="6" t="s">
        <v>39</v>
      </c>
      <c r="S6" s="6" t="s">
        <v>40</v>
      </c>
      <c r="T6" s="6" t="s">
        <v>41</v>
      </c>
      <c r="U6" s="6" t="s">
        <v>42</v>
      </c>
      <c r="V6" s="6" t="s">
        <v>43</v>
      </c>
      <c r="W6" s="7" t="s">
        <v>44</v>
      </c>
      <c r="X6" s="6" t="s">
        <v>45</v>
      </c>
      <c r="Y6" s="4"/>
    </row>
    <row r="7" spans="1:26" ht="22.5" customHeight="1">
      <c r="A7" s="52"/>
      <c r="B7" s="45">
        <f>ROUND('数学-小节得分-2017'!B5*10%+'数学-小节得分-2020'!B5*12.5%+'数学-小节得分-2021'!B5*13.5%+'数学-小节得分-2022'!B5*14.5%+'数学-小节得分-2023'!B5*15.5%+'数学-小节得分-2024'!B5*16.5%+'数学-小节得分-2025'!B5*17.5%,1)</f>
        <v>17.600000000000001</v>
      </c>
      <c r="C7" s="46">
        <f>COUNTA(F6:Y6)</f>
        <v>19</v>
      </c>
      <c r="D7" s="47">
        <f>ROUND(B7/C7,2)</f>
        <v>0.93</v>
      </c>
      <c r="E7" s="8" t="s">
        <v>25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4"/>
    </row>
    <row r="8" spans="1:26" ht="22.5" customHeight="1">
      <c r="A8" s="51" t="s">
        <v>46</v>
      </c>
      <c r="B8" s="9" t="s">
        <v>4</v>
      </c>
      <c r="C8" s="9" t="s">
        <v>5</v>
      </c>
      <c r="D8" s="9" t="s">
        <v>6</v>
      </c>
      <c r="E8" s="8" t="s">
        <v>7</v>
      </c>
      <c r="F8" s="7" t="s">
        <v>47</v>
      </c>
      <c r="G8" s="7" t="s">
        <v>48</v>
      </c>
      <c r="H8" s="7" t="s">
        <v>49</v>
      </c>
      <c r="I8" s="7" t="s">
        <v>50</v>
      </c>
      <c r="J8" s="7" t="s">
        <v>51</v>
      </c>
      <c r="K8" s="7" t="s">
        <v>52</v>
      </c>
      <c r="L8" s="7" t="s">
        <v>53</v>
      </c>
      <c r="M8" s="7" t="s">
        <v>54</v>
      </c>
      <c r="N8" s="7" t="s">
        <v>55</v>
      </c>
      <c r="O8" s="7" t="s">
        <v>56</v>
      </c>
      <c r="P8" s="7" t="s">
        <v>57</v>
      </c>
      <c r="Q8" s="4"/>
      <c r="R8" s="4"/>
      <c r="S8" s="4"/>
      <c r="T8" s="4"/>
      <c r="U8" s="4"/>
      <c r="V8" s="4"/>
      <c r="W8" s="4"/>
      <c r="X8" s="4"/>
      <c r="Y8" s="4"/>
    </row>
    <row r="9" spans="1:26" ht="22.5" customHeight="1">
      <c r="A9" s="52"/>
      <c r="B9" s="45">
        <f>ROUND('数学-小节得分-2017'!B7*10%+'数学-小节得分-2020'!B7*12.5%+'数学-小节得分-2021'!B7*13.5%+'数学-小节得分-2022'!B7*14.5%+'数学-小节得分-2023'!B7*15.5%+'数学-小节得分-2024'!B7*16.5%+'数学-小节得分-2025'!B7*17.5%,1)</f>
        <v>9.6</v>
      </c>
      <c r="C9" s="46">
        <f>COUNTA(F8:Y8)</f>
        <v>11</v>
      </c>
      <c r="D9" s="47">
        <f>ROUND(B9/C9,2)</f>
        <v>0.87</v>
      </c>
      <c r="E9" s="8" t="s">
        <v>25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4"/>
      <c r="R9" s="4"/>
      <c r="S9" s="4"/>
      <c r="T9" s="4"/>
      <c r="U9" s="4"/>
      <c r="V9" s="4"/>
      <c r="W9" s="4"/>
      <c r="X9" s="4"/>
      <c r="Y9" s="4"/>
    </row>
    <row r="10" spans="1:26" ht="22.5" customHeight="1">
      <c r="A10" s="51" t="s">
        <v>58</v>
      </c>
      <c r="B10" s="9" t="s">
        <v>4</v>
      </c>
      <c r="C10" s="9" t="s">
        <v>5</v>
      </c>
      <c r="D10" s="9" t="s">
        <v>6</v>
      </c>
      <c r="E10" s="8" t="s">
        <v>7</v>
      </c>
      <c r="F10" s="7" t="s">
        <v>59</v>
      </c>
      <c r="G10" s="7" t="s">
        <v>60</v>
      </c>
      <c r="H10" s="7" t="s">
        <v>61</v>
      </c>
      <c r="I10" s="7" t="s">
        <v>62</v>
      </c>
      <c r="J10" s="7" t="s">
        <v>63</v>
      </c>
      <c r="K10" s="7" t="s">
        <v>64</v>
      </c>
      <c r="L10" s="7" t="s">
        <v>65</v>
      </c>
      <c r="M10" s="7" t="s">
        <v>66</v>
      </c>
      <c r="N10" s="7" t="s">
        <v>67</v>
      </c>
      <c r="O10" s="7" t="s">
        <v>68</v>
      </c>
      <c r="P10" s="7" t="s">
        <v>69</v>
      </c>
      <c r="Q10" s="7" t="s">
        <v>70</v>
      </c>
      <c r="R10" s="7" t="s">
        <v>71</v>
      </c>
      <c r="S10" s="7" t="s">
        <v>72</v>
      </c>
      <c r="T10" s="7" t="s">
        <v>73</v>
      </c>
      <c r="U10" s="7" t="s">
        <v>74</v>
      </c>
      <c r="V10" s="7" t="s">
        <v>75</v>
      </c>
      <c r="W10" s="7" t="s">
        <v>76</v>
      </c>
      <c r="X10" s="7" t="s">
        <v>77</v>
      </c>
      <c r="Y10" s="7" t="s">
        <v>78</v>
      </c>
      <c r="Z10" s="7"/>
    </row>
    <row r="11" spans="1:26" ht="22.5" customHeight="1">
      <c r="A11" s="52"/>
      <c r="B11" s="45">
        <f>ROUND('数学-小节得分-2017'!B9*10%+'数学-小节得分-2020'!B9*12.5%+'数学-小节得分-2021'!B9*13.5%+'数学-小节得分-2022'!B9*14.5%+'数学-小节得分-2023'!B9*15.5%+'数学-小节得分-2024'!B9*16.5%+'数学-小节得分-2025'!B9*17.5%,1)</f>
        <v>3.8</v>
      </c>
      <c r="C11" s="46">
        <f>COUNTA(F10:Y10)</f>
        <v>20</v>
      </c>
      <c r="D11" s="47">
        <f>ROUND(B11/C11,2)</f>
        <v>0.19</v>
      </c>
      <c r="E11" s="8" t="s">
        <v>25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</row>
    <row r="12" spans="1:26" ht="22.5" customHeight="1">
      <c r="A12" s="51" t="s">
        <v>79</v>
      </c>
      <c r="B12" s="9" t="s">
        <v>4</v>
      </c>
      <c r="C12" s="9" t="s">
        <v>5</v>
      </c>
      <c r="D12" s="9" t="s">
        <v>6</v>
      </c>
      <c r="E12" s="8" t="s">
        <v>7</v>
      </c>
      <c r="F12" s="7" t="s">
        <v>80</v>
      </c>
      <c r="G12" s="7" t="s">
        <v>81</v>
      </c>
      <c r="H12" s="7" t="s">
        <v>82</v>
      </c>
      <c r="I12" s="7" t="s">
        <v>83</v>
      </c>
      <c r="J12" s="7" t="s">
        <v>84</v>
      </c>
      <c r="K12" s="7" t="s">
        <v>85</v>
      </c>
      <c r="L12" s="7" t="s">
        <v>86</v>
      </c>
      <c r="M12" s="7" t="s">
        <v>87</v>
      </c>
      <c r="N12" s="7" t="s">
        <v>88</v>
      </c>
      <c r="O12" s="7" t="s">
        <v>89</v>
      </c>
      <c r="P12" s="7" t="s">
        <v>90</v>
      </c>
      <c r="Q12" s="7" t="s">
        <v>91</v>
      </c>
      <c r="R12" s="7" t="s">
        <v>92</v>
      </c>
      <c r="S12" s="7" t="s">
        <v>93</v>
      </c>
      <c r="T12" s="7"/>
      <c r="U12" s="4"/>
      <c r="V12" s="4"/>
      <c r="W12" s="4"/>
      <c r="X12" s="4"/>
      <c r="Y12" s="4"/>
    </row>
    <row r="13" spans="1:26" ht="22.5" customHeight="1">
      <c r="A13" s="52"/>
      <c r="B13" s="45">
        <f>ROUND('数学-小节得分-2017'!B11*10%+'数学-小节得分-2020'!B11*12.5%+'数学-小节得分-2021'!B11*13.5%+'数学-小节得分-2022'!B11*14.5%+'数学-小节得分-2023'!B11*15.5%+'数学-小节得分-2024'!B11*16.5%+'数学-小节得分-2025'!B11*17.5%,1)</f>
        <v>14.2</v>
      </c>
      <c r="C13" s="46">
        <f>COUNTA(F12:Y12)</f>
        <v>14</v>
      </c>
      <c r="D13" s="47">
        <f>ROUND(B13/C13,2)</f>
        <v>1.01</v>
      </c>
      <c r="E13" s="8" t="s">
        <v>25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4"/>
      <c r="U13" s="4"/>
      <c r="V13" s="4"/>
      <c r="W13" s="4"/>
      <c r="X13" s="4"/>
      <c r="Y13" s="4"/>
    </row>
    <row r="14" spans="1:26" ht="22.5" customHeight="1">
      <c r="A14" s="51" t="s">
        <v>94</v>
      </c>
      <c r="B14" s="9" t="s">
        <v>4</v>
      </c>
      <c r="C14" s="9" t="s">
        <v>5</v>
      </c>
      <c r="D14" s="9" t="s">
        <v>6</v>
      </c>
      <c r="E14" s="8" t="s">
        <v>7</v>
      </c>
      <c r="F14" s="7" t="s">
        <v>95</v>
      </c>
      <c r="G14" s="7" t="s">
        <v>96</v>
      </c>
      <c r="H14" s="7" t="s">
        <v>97</v>
      </c>
      <c r="I14" s="7" t="s">
        <v>98</v>
      </c>
      <c r="J14" s="7" t="s">
        <v>99</v>
      </c>
      <c r="K14" s="7" t="s">
        <v>100</v>
      </c>
      <c r="L14" s="7" t="s">
        <v>101</v>
      </c>
      <c r="M14" s="7" t="s">
        <v>102</v>
      </c>
      <c r="N14" s="7" t="s">
        <v>103</v>
      </c>
      <c r="O14" s="7" t="s">
        <v>104</v>
      </c>
      <c r="P14" s="7" t="s">
        <v>105</v>
      </c>
      <c r="Q14" s="7" t="s">
        <v>106</v>
      </c>
      <c r="R14" s="4"/>
      <c r="S14" s="4"/>
      <c r="T14" s="4"/>
      <c r="U14" s="4"/>
      <c r="V14" s="4"/>
      <c r="W14" s="4"/>
      <c r="X14" s="4"/>
      <c r="Y14" s="4"/>
    </row>
    <row r="15" spans="1:26" ht="22.5" customHeight="1">
      <c r="A15" s="52"/>
      <c r="B15" s="45">
        <f>ROUND('数学-小节得分-2017'!B13*10%+'数学-小节得分-2020'!B13*12.5%+'数学-小节得分-2021'!B13*13.5%+'数学-小节得分-2022'!B13*14.5%+'数学-小节得分-2023'!B13*15.5%+'数学-小节得分-2024'!B13*16.5%+'数学-小节得分-2025'!B13*17.5%,1)</f>
        <v>18</v>
      </c>
      <c r="C15" s="46">
        <f>COUNTA(F14:Y14)</f>
        <v>12</v>
      </c>
      <c r="D15" s="47">
        <f>ROUND(B15/C15,2)</f>
        <v>1.5</v>
      </c>
      <c r="E15" s="8" t="s">
        <v>25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4"/>
      <c r="S15" s="4"/>
      <c r="T15" s="4"/>
      <c r="U15" s="4"/>
      <c r="V15" s="4"/>
      <c r="W15" s="4"/>
      <c r="X15" s="4"/>
      <c r="Y15" s="4"/>
    </row>
    <row r="16" spans="1:26" ht="22.5" customHeight="1">
      <c r="A16" s="51" t="s">
        <v>107</v>
      </c>
      <c r="B16" s="9" t="s">
        <v>4</v>
      </c>
      <c r="C16" s="9" t="s">
        <v>5</v>
      </c>
      <c r="D16" s="9" t="s">
        <v>6</v>
      </c>
      <c r="E16" s="8" t="s">
        <v>7</v>
      </c>
      <c r="F16" s="7" t="s">
        <v>108</v>
      </c>
      <c r="G16" s="7" t="s">
        <v>109</v>
      </c>
      <c r="H16" s="7" t="s">
        <v>110</v>
      </c>
      <c r="I16" s="7" t="s">
        <v>111</v>
      </c>
      <c r="J16" s="7" t="s">
        <v>112</v>
      </c>
      <c r="K16" s="7" t="s">
        <v>113</v>
      </c>
      <c r="L16" s="7" t="s">
        <v>114</v>
      </c>
      <c r="M16" s="7" t="s">
        <v>115</v>
      </c>
      <c r="N16" s="7" t="s">
        <v>116</v>
      </c>
      <c r="O16" s="7" t="s">
        <v>117</v>
      </c>
      <c r="P16" s="7" t="s">
        <v>118</v>
      </c>
      <c r="Q16" s="7" t="s">
        <v>119</v>
      </c>
      <c r="R16" s="7" t="s">
        <v>120</v>
      </c>
      <c r="S16" s="7" t="s">
        <v>121</v>
      </c>
      <c r="T16" s="7" t="s">
        <v>122</v>
      </c>
      <c r="U16" s="7" t="s">
        <v>123</v>
      </c>
      <c r="V16" s="7" t="s">
        <v>124</v>
      </c>
      <c r="W16" s="7"/>
      <c r="X16" s="4"/>
      <c r="Y16" s="4"/>
    </row>
    <row r="17" spans="1:25" ht="22.5" customHeight="1">
      <c r="A17" s="52"/>
      <c r="B17" s="45">
        <f>ROUND('数学-小节得分-2017'!B15*10%+'数学-小节得分-2020'!B15*12.5%+'数学-小节得分-2021'!B15*13.5%+'数学-小节得分-2022'!B15*14.5%+'数学-小节得分-2023'!B15*15.5%+'数学-小节得分-2024'!B15*16.5%+'数学-小节得分-2025'!B15*17.5%,1)</f>
        <v>8.4</v>
      </c>
      <c r="C17" s="46">
        <f>COUNTA(F16:Y16)</f>
        <v>17</v>
      </c>
      <c r="D17" s="47">
        <f>ROUND(B17/C17,2)</f>
        <v>0.49</v>
      </c>
      <c r="E17" s="8" t="s">
        <v>25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4"/>
      <c r="X17" s="4"/>
      <c r="Y17" s="4"/>
    </row>
    <row r="18" spans="1:25" ht="22.5" customHeight="1">
      <c r="A18" s="51" t="s">
        <v>125</v>
      </c>
      <c r="B18" s="9" t="s">
        <v>4</v>
      </c>
      <c r="C18" s="9" t="s">
        <v>5</v>
      </c>
      <c r="D18" s="9" t="s">
        <v>6</v>
      </c>
      <c r="E18" s="8" t="s">
        <v>7</v>
      </c>
      <c r="F18" s="7" t="s">
        <v>126</v>
      </c>
      <c r="G18" s="7" t="s">
        <v>127</v>
      </c>
      <c r="H18" s="7" t="s">
        <v>128</v>
      </c>
      <c r="I18" s="7" t="s">
        <v>129</v>
      </c>
      <c r="J18" s="7" t="s">
        <v>130</v>
      </c>
      <c r="K18" s="7" t="s">
        <v>131</v>
      </c>
      <c r="L18" s="7" t="s">
        <v>132</v>
      </c>
      <c r="M18" s="7" t="s">
        <v>133</v>
      </c>
      <c r="N18" s="7" t="s">
        <v>134</v>
      </c>
      <c r="O18" s="7" t="s">
        <v>135</v>
      </c>
      <c r="P18" s="7" t="s">
        <v>136</v>
      </c>
      <c r="Q18" s="7" t="s">
        <v>137</v>
      </c>
      <c r="R18" s="7" t="s">
        <v>138</v>
      </c>
      <c r="S18" s="7" t="s">
        <v>139</v>
      </c>
      <c r="T18" s="4"/>
      <c r="U18" s="4"/>
      <c r="V18" s="4"/>
      <c r="W18" s="4"/>
      <c r="X18" s="4"/>
      <c r="Y18" s="4"/>
    </row>
    <row r="19" spans="1:25" ht="22.5" customHeight="1">
      <c r="A19" s="52"/>
      <c r="B19" s="45">
        <f>ROUND('数学-小节得分-2017'!B17*10%+'数学-小节得分-2020'!B17*12.5%+'数学-小节得分-2021'!B17*13.5%+'数学-小节得分-2022'!B17*14.5%+'数学-小节得分-2023'!B17*15.5%+'数学-小节得分-2024'!B17*16.5%+'数学-小节得分-2025'!B17*17.5%,1)</f>
        <v>5.9</v>
      </c>
      <c r="C19" s="46">
        <f>COUNTA(F18:Y18)</f>
        <v>14</v>
      </c>
      <c r="D19" s="47">
        <f>ROUND(B19/C19,2)</f>
        <v>0.42</v>
      </c>
      <c r="E19" s="8" t="s">
        <v>25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4"/>
      <c r="U19" s="4"/>
      <c r="V19" s="4"/>
      <c r="W19" s="4"/>
      <c r="X19" s="4"/>
      <c r="Y19" s="4"/>
    </row>
    <row r="20" spans="1:25" ht="27" customHeight="1">
      <c r="A20" s="48" t="s">
        <v>140</v>
      </c>
      <c r="B20" s="48"/>
      <c r="C20" s="49"/>
      <c r="D20" s="49"/>
      <c r="E20" s="49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22.5" customHeight="1">
      <c r="A21" s="5" t="s">
        <v>2</v>
      </c>
      <c r="B21" s="50">
        <f>SUM(F23:G23)*0.01*D23+SUM(F25:S25)*0.01*D25+SUM(F27:S27)*0.01*D27+SUM(F29:L29)*0.01*D29+SUM(F31:I31)*0.01*D31+SUM(F33:L33)*0.01*D33</f>
        <v>0</v>
      </c>
      <c r="C21" s="53"/>
      <c r="D21" s="53"/>
      <c r="E21" s="54"/>
      <c r="F21" s="7"/>
      <c r="G21" s="7"/>
      <c r="H21" s="7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22.5" customHeight="1">
      <c r="A22" s="51" t="s">
        <v>141</v>
      </c>
      <c r="B22" s="9" t="s">
        <v>4</v>
      </c>
      <c r="C22" s="9" t="s">
        <v>5</v>
      </c>
      <c r="D22" s="9" t="s">
        <v>6</v>
      </c>
      <c r="E22" s="8" t="s">
        <v>7</v>
      </c>
      <c r="F22" s="7" t="s">
        <v>142</v>
      </c>
      <c r="G22" s="7" t="s">
        <v>143</v>
      </c>
      <c r="H22" s="7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22.5" customHeight="1">
      <c r="A23" s="52"/>
      <c r="B23" s="45">
        <f>ROUND('数学-小节得分-2017'!B20*10%+'数学-小节得分-2020'!B20*12.5%+'数学-小节得分-2021'!B20*13.5%+'数学-小节得分-2022'!B20*14.5%+'数学-小节得分-2023'!B20*15.5%+'数学-小节得分-2024'!B20*16.5%+'数学-小节得分-2025'!B20*17.5%,1)</f>
        <v>0.8</v>
      </c>
      <c r="C23" s="46">
        <f>COUNTA(F22:Y22)</f>
        <v>2</v>
      </c>
      <c r="D23" s="47">
        <f>ROUND(B23/C23,2)</f>
        <v>0.4</v>
      </c>
      <c r="E23" s="8" t="s">
        <v>25</v>
      </c>
      <c r="F23" s="11">
        <v>0</v>
      </c>
      <c r="G23" s="11"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22.5" customHeight="1">
      <c r="A24" s="51" t="s">
        <v>144</v>
      </c>
      <c r="B24" s="9" t="s">
        <v>4</v>
      </c>
      <c r="C24" s="9" t="s">
        <v>5</v>
      </c>
      <c r="D24" s="9" t="s">
        <v>6</v>
      </c>
      <c r="E24" s="8" t="s">
        <v>7</v>
      </c>
      <c r="F24" s="7" t="s">
        <v>145</v>
      </c>
      <c r="G24" s="7" t="s">
        <v>146</v>
      </c>
      <c r="H24" s="7" t="s">
        <v>147</v>
      </c>
      <c r="I24" s="7" t="s">
        <v>148</v>
      </c>
      <c r="J24" s="7" t="s">
        <v>149</v>
      </c>
      <c r="K24" s="7" t="s">
        <v>150</v>
      </c>
      <c r="L24" s="7" t="s">
        <v>151</v>
      </c>
      <c r="M24" s="7" t="s">
        <v>152</v>
      </c>
      <c r="N24" s="7" t="s">
        <v>153</v>
      </c>
      <c r="O24" s="7" t="s">
        <v>154</v>
      </c>
      <c r="P24" s="7" t="s">
        <v>155</v>
      </c>
      <c r="Q24" s="7" t="s">
        <v>156</v>
      </c>
      <c r="R24" s="7" t="s">
        <v>157</v>
      </c>
      <c r="S24" s="7" t="s">
        <v>158</v>
      </c>
      <c r="T24" s="4"/>
      <c r="U24" s="4"/>
      <c r="V24" s="4"/>
      <c r="W24" s="4"/>
      <c r="X24" s="4"/>
      <c r="Y24" s="4"/>
    </row>
    <row r="25" spans="1:25" ht="22.5" customHeight="1">
      <c r="A25" s="52"/>
      <c r="B25" s="45">
        <f>ROUND('数学-小节得分-2017'!B22*10%+'数学-小节得分-2020'!B22*12.5%+'数学-小节得分-2021'!B22*13.5%+'数学-小节得分-2022'!B22*14.5%+'数学-小节得分-2023'!B22*15.5%+'数学-小节得分-2024'!B22*16.5%+'数学-小节得分-2025'!B22*17.5%,1)</f>
        <v>7.1</v>
      </c>
      <c r="C25" s="46">
        <f>COUNTA(F24:Y24)</f>
        <v>14</v>
      </c>
      <c r="D25" s="47">
        <f>ROUND(B25/C25,2)</f>
        <v>0.51</v>
      </c>
      <c r="E25" s="8" t="s">
        <v>25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4"/>
      <c r="U25" s="4"/>
      <c r="V25" s="4"/>
      <c r="W25" s="4"/>
      <c r="X25" s="4"/>
      <c r="Y25" s="4"/>
    </row>
    <row r="26" spans="1:25" ht="22.5" customHeight="1">
      <c r="A26" s="51" t="s">
        <v>159</v>
      </c>
      <c r="B26" s="9" t="s">
        <v>4</v>
      </c>
      <c r="C26" s="9" t="s">
        <v>5</v>
      </c>
      <c r="D26" s="9" t="s">
        <v>6</v>
      </c>
      <c r="E26" s="8" t="s">
        <v>7</v>
      </c>
      <c r="F26" s="7" t="s">
        <v>59</v>
      </c>
      <c r="G26" s="7" t="s">
        <v>160</v>
      </c>
      <c r="H26" s="7" t="s">
        <v>161</v>
      </c>
      <c r="I26" s="7" t="s">
        <v>162</v>
      </c>
      <c r="J26" s="7" t="s">
        <v>163</v>
      </c>
      <c r="K26" s="7" t="s">
        <v>164</v>
      </c>
      <c r="L26" s="7" t="s">
        <v>165</v>
      </c>
      <c r="M26" s="7" t="s">
        <v>166</v>
      </c>
      <c r="N26" s="7" t="s">
        <v>167</v>
      </c>
      <c r="O26" s="7" t="s">
        <v>168</v>
      </c>
      <c r="P26" s="7" t="s">
        <v>169</v>
      </c>
      <c r="Q26" s="7" t="s">
        <v>170</v>
      </c>
      <c r="R26" s="7" t="s">
        <v>171</v>
      </c>
      <c r="S26" s="7" t="s">
        <v>172</v>
      </c>
      <c r="T26" s="4"/>
      <c r="U26" s="4"/>
      <c r="V26" s="4"/>
      <c r="W26" s="4"/>
      <c r="X26" s="4"/>
      <c r="Y26" s="4"/>
    </row>
    <row r="27" spans="1:25" ht="22.5" customHeight="1">
      <c r="A27" s="52"/>
      <c r="B27" s="45">
        <f>ROUND('数学-小节得分-2017'!B24*10%+'数学-小节得分-2020'!B24*12.5%+'数学-小节得分-2021'!B24*13.5%+'数学-小节得分-2022'!B24*14.5%+'数学-小节得分-2023'!B24*15.5%+'数学-小节得分-2024'!B24*16.5%+'数学-小节得分-2025'!B24*17.5%,1)</f>
        <v>4.5</v>
      </c>
      <c r="C27" s="46">
        <f>COUNTA(F26:Y26)</f>
        <v>14</v>
      </c>
      <c r="D27" s="47">
        <f>ROUND(B27/C27,2)</f>
        <v>0.32</v>
      </c>
      <c r="E27" s="8" t="s">
        <v>25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4"/>
      <c r="U27" s="4"/>
      <c r="V27" s="4"/>
      <c r="W27" s="4"/>
      <c r="X27" s="4"/>
      <c r="Y27" s="4"/>
    </row>
    <row r="28" spans="1:25" ht="22.5" customHeight="1">
      <c r="A28" s="51" t="s">
        <v>173</v>
      </c>
      <c r="B28" s="9" t="s">
        <v>4</v>
      </c>
      <c r="C28" s="9" t="s">
        <v>5</v>
      </c>
      <c r="D28" s="9" t="s">
        <v>6</v>
      </c>
      <c r="E28" s="8" t="s">
        <v>7</v>
      </c>
      <c r="F28" s="7" t="s">
        <v>174</v>
      </c>
      <c r="G28" s="7" t="s">
        <v>175</v>
      </c>
      <c r="H28" s="7" t="s">
        <v>176</v>
      </c>
      <c r="I28" s="7" t="s">
        <v>177</v>
      </c>
      <c r="J28" s="7" t="s">
        <v>178</v>
      </c>
      <c r="K28" s="7" t="s">
        <v>179</v>
      </c>
      <c r="L28" s="7" t="s">
        <v>180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22.5" customHeight="1">
      <c r="A29" s="52"/>
      <c r="B29" s="45">
        <f>ROUND('数学-小节得分-2017'!B26*10%+'数学-小节得分-2020'!B26*12.5%+'数学-小节得分-2021'!B26*13.5%+'数学-小节得分-2022'!B26*14.5%+'数学-小节得分-2023'!B26*15.5%+'数学-小节得分-2024'!B26*16.5%+'数学-小节得分-2025'!B26*17.5%,1)</f>
        <v>3.5</v>
      </c>
      <c r="C29" s="46">
        <f>COUNTA(F28:Y28)</f>
        <v>7</v>
      </c>
      <c r="D29" s="47">
        <f>ROUND(B29/C29,2)</f>
        <v>0.5</v>
      </c>
      <c r="E29" s="8" t="s">
        <v>25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22.5" customHeight="1">
      <c r="A30" s="51" t="s">
        <v>181</v>
      </c>
      <c r="B30" s="9" t="s">
        <v>4</v>
      </c>
      <c r="C30" s="9" t="s">
        <v>5</v>
      </c>
      <c r="D30" s="9" t="s">
        <v>6</v>
      </c>
      <c r="E30" s="8" t="s">
        <v>7</v>
      </c>
      <c r="F30" s="7" t="s">
        <v>182</v>
      </c>
      <c r="G30" s="7" t="s">
        <v>183</v>
      </c>
      <c r="H30" s="7" t="s">
        <v>184</v>
      </c>
      <c r="I30" s="7" t="s">
        <v>185</v>
      </c>
      <c r="J30" s="7"/>
      <c r="K30" s="7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22.5" customHeight="1">
      <c r="A31" s="52"/>
      <c r="B31" s="45">
        <f>ROUND('数学-小节得分-2017'!B28*10%+'数学-小节得分-2020'!B28*12.5%+'数学-小节得分-2021'!B28*13.5%+'数学-小节得分-2022'!B28*14.5%+'数学-小节得分-2023'!B28*15.5%+'数学-小节得分-2024'!B28*16.5%+'数学-小节得分-2025'!B28*17.5%,1)</f>
        <v>9.3000000000000007</v>
      </c>
      <c r="C31" s="46">
        <f>COUNTA(F30:Y30)</f>
        <v>4</v>
      </c>
      <c r="D31" s="47">
        <f>ROUND(B31/C31,2)</f>
        <v>2.33</v>
      </c>
      <c r="E31" s="8" t="s">
        <v>25</v>
      </c>
      <c r="F31" s="11">
        <v>0</v>
      </c>
      <c r="G31" s="11">
        <v>0</v>
      </c>
      <c r="H31" s="11">
        <v>0</v>
      </c>
      <c r="I31" s="11">
        <v>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22.5" customHeight="1">
      <c r="A32" s="51" t="s">
        <v>186</v>
      </c>
      <c r="B32" s="9" t="s">
        <v>4</v>
      </c>
      <c r="C32" s="9" t="s">
        <v>5</v>
      </c>
      <c r="D32" s="9" t="s">
        <v>6</v>
      </c>
      <c r="E32" s="8" t="s">
        <v>7</v>
      </c>
      <c r="F32" s="7" t="s">
        <v>187</v>
      </c>
      <c r="G32" s="7" t="s">
        <v>188</v>
      </c>
      <c r="H32" s="7" t="s">
        <v>189</v>
      </c>
      <c r="I32" s="7" t="s">
        <v>190</v>
      </c>
      <c r="J32" s="7" t="s">
        <v>191</v>
      </c>
      <c r="K32" s="7" t="s">
        <v>192</v>
      </c>
      <c r="L32" s="7" t="s">
        <v>193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22.5" customHeight="1">
      <c r="A33" s="52"/>
      <c r="B33" s="45">
        <f>ROUND('数学-小节得分-2017'!B30*10%+'数学-小节得分-2020'!B30*12.5%+'数学-小节得分-2021'!B30*13.5%+'数学-小节得分-2022'!B30*14.5%+'数学-小节得分-2023'!B30*15.5%+'数学-小节得分-2024'!B30*16.5%+'数学-小节得分-2025'!B30*17.5%,1)</f>
        <v>6.4</v>
      </c>
      <c r="C33" s="46">
        <f>COUNTA(F32:Y32)</f>
        <v>7</v>
      </c>
      <c r="D33" s="47">
        <f>ROUND(B33/C33,2)</f>
        <v>0.91</v>
      </c>
      <c r="E33" s="8" t="s">
        <v>25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28.5" customHeight="1">
      <c r="A34" s="48" t="s">
        <v>194</v>
      </c>
      <c r="B34" s="48"/>
      <c r="C34" s="49"/>
      <c r="D34" s="49"/>
      <c r="E34" s="49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22.5" customHeight="1">
      <c r="A35" s="5" t="s">
        <v>2</v>
      </c>
      <c r="B35" s="50">
        <f>SUM(F37:P37)*0.01*D37+SUM(F39:K39)*0.01*D39+SUM(F41:K41)*0.01*D41+SUM(F43:H43)*0.01*D43+SUM(F45:K45)*0.01*D45+SUM(F47:P47)*0.01*D47+SUM(F49:M49)*0.01*D49+SUM(F51:H51)*0.01*D51</f>
        <v>0</v>
      </c>
      <c r="C35" s="53"/>
      <c r="D35" s="53"/>
      <c r="E35" s="54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4"/>
      <c r="R35" s="4"/>
      <c r="S35" s="4"/>
      <c r="T35" s="4"/>
      <c r="U35" s="4"/>
      <c r="V35" s="4"/>
      <c r="W35" s="4"/>
      <c r="X35" s="4"/>
      <c r="Y35" s="4"/>
    </row>
    <row r="36" spans="1:25" ht="22.5" customHeight="1">
      <c r="A36" s="51" t="s">
        <v>195</v>
      </c>
      <c r="B36" s="9" t="s">
        <v>4</v>
      </c>
      <c r="C36" s="9" t="s">
        <v>5</v>
      </c>
      <c r="D36" s="9" t="s">
        <v>6</v>
      </c>
      <c r="E36" s="8" t="s">
        <v>7</v>
      </c>
      <c r="F36" s="7" t="s">
        <v>196</v>
      </c>
      <c r="G36" s="7" t="s">
        <v>197</v>
      </c>
      <c r="H36" s="7" t="s">
        <v>198</v>
      </c>
      <c r="I36" s="7" t="s">
        <v>199</v>
      </c>
      <c r="J36" s="7" t="s">
        <v>200</v>
      </c>
      <c r="K36" s="7" t="s">
        <v>201</v>
      </c>
      <c r="L36" s="7" t="s">
        <v>202</v>
      </c>
      <c r="M36" s="7" t="s">
        <v>203</v>
      </c>
      <c r="N36" s="7" t="s">
        <v>204</v>
      </c>
      <c r="O36" s="7" t="s">
        <v>205</v>
      </c>
      <c r="P36" s="7" t="s">
        <v>206</v>
      </c>
      <c r="Q36" s="4"/>
      <c r="R36" s="4"/>
      <c r="S36" s="4"/>
      <c r="T36" s="4"/>
      <c r="U36" s="4"/>
      <c r="V36" s="4"/>
      <c r="W36" s="4"/>
      <c r="X36" s="4"/>
      <c r="Y36" s="4"/>
    </row>
    <row r="37" spans="1:25" ht="22.5" customHeight="1">
      <c r="A37" s="52"/>
      <c r="B37" s="45">
        <f>ROUND('数学-小节得分-2017'!B33*10%+'数学-小节得分-2020'!B33*12.5%+'数学-小节得分-2021'!B33*13.5%+'数学-小节得分-2022'!B33*14.5%+'数学-小节得分-2023'!B33*15.5%+'数学-小节得分-2024'!B33*16.5%+'数学-小节得分-2025'!B33*17.5%,1)</f>
        <v>4.8</v>
      </c>
      <c r="C37" s="46">
        <f>COUNTA(F36:Y36)</f>
        <v>11</v>
      </c>
      <c r="D37" s="47">
        <f>ROUND(B37/C37,2)</f>
        <v>0.44</v>
      </c>
      <c r="E37" s="8" t="s">
        <v>25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4"/>
      <c r="R37" s="4"/>
      <c r="S37" s="4"/>
      <c r="T37" s="4"/>
      <c r="U37" s="4"/>
      <c r="V37" s="4"/>
      <c r="W37" s="4"/>
      <c r="X37" s="4"/>
      <c r="Y37" s="4"/>
    </row>
    <row r="38" spans="1:25" ht="22.5" customHeight="1">
      <c r="A38" s="51" t="s">
        <v>207</v>
      </c>
      <c r="B38" s="9" t="s">
        <v>4</v>
      </c>
      <c r="C38" s="9" t="s">
        <v>5</v>
      </c>
      <c r="D38" s="9" t="s">
        <v>6</v>
      </c>
      <c r="E38" s="8" t="s">
        <v>7</v>
      </c>
      <c r="F38" s="7" t="s">
        <v>208</v>
      </c>
      <c r="G38" s="7" t="s">
        <v>209</v>
      </c>
      <c r="H38" s="7" t="s">
        <v>210</v>
      </c>
      <c r="I38" s="7" t="s">
        <v>211</v>
      </c>
      <c r="J38" s="7" t="s">
        <v>212</v>
      </c>
      <c r="K38" s="7" t="s">
        <v>213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22.5" customHeight="1">
      <c r="A39" s="52"/>
      <c r="B39" s="45">
        <f>ROUND('数学-小节得分-2017'!B35*10%+'数学-小节得分-2020'!B35*12.5%+'数学-小节得分-2021'!B35*13.5%+'数学-小节得分-2022'!B35*14.5%+'数学-小节得分-2023'!B35*15.5%+'数学-小节得分-2024'!B35*16.5%+'数学-小节得分-2025'!B35*17.5%,1)</f>
        <v>4.0999999999999996</v>
      </c>
      <c r="C39" s="46">
        <f>COUNTA(F38:Y38)</f>
        <v>6</v>
      </c>
      <c r="D39" s="47">
        <f>ROUND(B39/C39,2)</f>
        <v>0.68</v>
      </c>
      <c r="E39" s="8" t="s">
        <v>25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22.5" customHeight="1">
      <c r="A40" s="51" t="s">
        <v>214</v>
      </c>
      <c r="B40" s="9" t="s">
        <v>4</v>
      </c>
      <c r="C40" s="9" t="s">
        <v>5</v>
      </c>
      <c r="D40" s="9" t="s">
        <v>6</v>
      </c>
      <c r="E40" s="8" t="s">
        <v>7</v>
      </c>
      <c r="F40" s="7" t="s">
        <v>214</v>
      </c>
      <c r="G40" s="7" t="s">
        <v>215</v>
      </c>
      <c r="H40" s="7" t="s">
        <v>216</v>
      </c>
      <c r="I40" s="7" t="s">
        <v>217</v>
      </c>
      <c r="J40" s="7" t="s">
        <v>218</v>
      </c>
      <c r="K40" s="7" t="s">
        <v>219</v>
      </c>
      <c r="L40" s="7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22.5" customHeight="1">
      <c r="A41" s="52"/>
      <c r="B41" s="45">
        <f>ROUND('数学-小节得分-2017'!B37*10%+'数学-小节得分-2020'!B37*12.5%+'数学-小节得分-2021'!B37*13.5%+'数学-小节得分-2022'!B37*14.5%+'数学-小节得分-2023'!B37*15.5%+'数学-小节得分-2024'!B37*16.5%+'数学-小节得分-2025'!B37*17.5%,1)</f>
        <v>6.7</v>
      </c>
      <c r="C41" s="46">
        <f>COUNTA(F40:Y40)</f>
        <v>6</v>
      </c>
      <c r="D41" s="47">
        <f>ROUND(B41/C41,2)</f>
        <v>1.1200000000000001</v>
      </c>
      <c r="E41" s="8" t="s">
        <v>25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22.5" customHeight="1">
      <c r="A42" s="51" t="s">
        <v>220</v>
      </c>
      <c r="B42" s="9" t="s">
        <v>4</v>
      </c>
      <c r="C42" s="9" t="s">
        <v>5</v>
      </c>
      <c r="D42" s="9" t="s">
        <v>6</v>
      </c>
      <c r="E42" s="8" t="s">
        <v>7</v>
      </c>
      <c r="F42" s="7" t="s">
        <v>221</v>
      </c>
      <c r="G42" s="7" t="s">
        <v>222</v>
      </c>
      <c r="H42" s="7" t="s">
        <v>223</v>
      </c>
      <c r="I42" s="7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22.5" customHeight="1">
      <c r="A43" s="52"/>
      <c r="B43" s="45">
        <f>ROUND('数学-小节得分-2017'!B39*10%+'数学-小节得分-2020'!B39*12.5%+'数学-小节得分-2021'!B39*13.5%+'数学-小节得分-2022'!B39*14.5%+'数学-小节得分-2023'!B39*15.5%+'数学-小节得分-2024'!B39*16.5%+'数学-小节得分-2025'!B39*17.5%,1)</f>
        <v>8</v>
      </c>
      <c r="C43" s="46">
        <f>COUNTA(F42:Y42)</f>
        <v>3</v>
      </c>
      <c r="D43" s="47">
        <f>ROUND(B43/C43,2)</f>
        <v>2.67</v>
      </c>
      <c r="E43" s="8" t="s">
        <v>25</v>
      </c>
      <c r="F43" s="11">
        <v>0</v>
      </c>
      <c r="G43" s="11">
        <v>0</v>
      </c>
      <c r="H43" s="11">
        <v>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22.5" customHeight="1">
      <c r="A44" s="51" t="s">
        <v>224</v>
      </c>
      <c r="B44" s="9" t="s">
        <v>4</v>
      </c>
      <c r="C44" s="9" t="s">
        <v>5</v>
      </c>
      <c r="D44" s="9" t="s">
        <v>6</v>
      </c>
      <c r="E44" s="8" t="s">
        <v>7</v>
      </c>
      <c r="F44" s="7" t="s">
        <v>225</v>
      </c>
      <c r="G44" s="7" t="s">
        <v>226</v>
      </c>
      <c r="H44" s="7" t="s">
        <v>227</v>
      </c>
      <c r="I44" s="7" t="s">
        <v>228</v>
      </c>
      <c r="J44" s="7" t="s">
        <v>229</v>
      </c>
      <c r="K44" s="7" t="s">
        <v>230</v>
      </c>
      <c r="L44" s="7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22.5" customHeight="1">
      <c r="A45" s="52"/>
      <c r="B45" s="45">
        <f>ROUND('数学-小节得分-2017'!B41*10%+'数学-小节得分-2020'!B41*12.5%+'数学-小节得分-2021'!B41*13.5%+'数学-小节得分-2022'!B41*14.5%+'数学-小节得分-2023'!B41*15.5%+'数学-小节得分-2024'!B41*16.5%+'数学-小节得分-2025'!B41*17.5%,1)</f>
        <v>0.9</v>
      </c>
      <c r="C45" s="46">
        <f>COUNTA(F44:Y44)</f>
        <v>6</v>
      </c>
      <c r="D45" s="47">
        <f>ROUND(B45/C45,2)</f>
        <v>0.15</v>
      </c>
      <c r="E45" s="8" t="s">
        <v>25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22.5" customHeight="1">
      <c r="A46" s="51" t="s">
        <v>231</v>
      </c>
      <c r="B46" s="9" t="s">
        <v>4</v>
      </c>
      <c r="C46" s="9" t="s">
        <v>5</v>
      </c>
      <c r="D46" s="9" t="s">
        <v>6</v>
      </c>
      <c r="E46" s="8" t="s">
        <v>7</v>
      </c>
      <c r="F46" s="7" t="s">
        <v>232</v>
      </c>
      <c r="G46" s="7" t="s">
        <v>233</v>
      </c>
      <c r="H46" s="7" t="s">
        <v>234</v>
      </c>
      <c r="I46" s="7" t="s">
        <v>235</v>
      </c>
      <c r="J46" s="7" t="s">
        <v>236</v>
      </c>
      <c r="K46" s="7" t="s">
        <v>237</v>
      </c>
      <c r="L46" s="7" t="s">
        <v>238</v>
      </c>
      <c r="M46" s="7" t="s">
        <v>239</v>
      </c>
      <c r="N46" s="7" t="s">
        <v>240</v>
      </c>
      <c r="O46" s="7" t="s">
        <v>241</v>
      </c>
      <c r="P46" s="7" t="s">
        <v>242</v>
      </c>
      <c r="Q46" s="7"/>
      <c r="R46" s="4"/>
      <c r="S46" s="4"/>
      <c r="T46" s="4"/>
      <c r="U46" s="4"/>
      <c r="V46" s="4"/>
      <c r="W46" s="4"/>
      <c r="X46" s="4"/>
      <c r="Y46" s="4"/>
    </row>
    <row r="47" spans="1:25" ht="22.5" customHeight="1">
      <c r="A47" s="52"/>
      <c r="B47" s="45">
        <f>ROUND('数学-小节得分-2017'!B43*10%+'数学-小节得分-2020'!B43*12.5%+'数学-小节得分-2021'!B43*13.5%+'数学-小节得分-2022'!B43*14.5%+'数学-小节得分-2023'!B43*15.5%+'数学-小节得分-2024'!B43*16.5%+'数学-小节得分-2025'!B43*17.5%,1)</f>
        <v>2.4</v>
      </c>
      <c r="C47" s="46">
        <f>COUNTA(F46:Y46)</f>
        <v>11</v>
      </c>
      <c r="D47" s="47">
        <f>ROUND(B47/C47,2)</f>
        <v>0.22</v>
      </c>
      <c r="E47" s="8" t="s">
        <v>25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4"/>
      <c r="R47" s="4"/>
      <c r="S47" s="4"/>
      <c r="T47" s="4"/>
      <c r="U47" s="4"/>
      <c r="V47" s="4"/>
      <c r="W47" s="4"/>
      <c r="X47" s="4"/>
      <c r="Y47" s="4"/>
    </row>
    <row r="48" spans="1:25" ht="22.5" customHeight="1">
      <c r="A48" s="51" t="s">
        <v>243</v>
      </c>
      <c r="B48" s="9" t="s">
        <v>4</v>
      </c>
      <c r="C48" s="9" t="s">
        <v>5</v>
      </c>
      <c r="D48" s="9" t="s">
        <v>6</v>
      </c>
      <c r="E48" s="8" t="s">
        <v>7</v>
      </c>
      <c r="F48" s="7" t="s">
        <v>244</v>
      </c>
      <c r="G48" s="7" t="s">
        <v>245</v>
      </c>
      <c r="H48" s="7" t="s">
        <v>246</v>
      </c>
      <c r="I48" s="7" t="s">
        <v>247</v>
      </c>
      <c r="J48" s="7" t="s">
        <v>248</v>
      </c>
      <c r="K48" s="7" t="s">
        <v>249</v>
      </c>
      <c r="L48" s="7" t="s">
        <v>250</v>
      </c>
      <c r="M48" s="7" t="s">
        <v>251</v>
      </c>
      <c r="N48" s="7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22.5" customHeight="1">
      <c r="A49" s="52"/>
      <c r="B49" s="45">
        <f>ROUND('数学-小节得分-2017'!B45*10%+'数学-小节得分-2020'!B45*12.5%+'数学-小节得分-2021'!B45*13.5%+'数学-小节得分-2022'!B45*14.5%+'数学-小节得分-2023'!B45*15.5%+'数学-小节得分-2024'!B45*16.5%+'数学-小节得分-2025'!B45*17.5%,1)</f>
        <v>4.0999999999999996</v>
      </c>
      <c r="C49" s="46">
        <f>COUNTA(F48:Y48)</f>
        <v>8</v>
      </c>
      <c r="D49" s="47">
        <f>ROUND(B49/C49,2)</f>
        <v>0.51</v>
      </c>
      <c r="E49" s="8" t="s">
        <v>25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22.5" customHeight="1">
      <c r="A50" s="51" t="s">
        <v>252</v>
      </c>
      <c r="B50" s="9" t="s">
        <v>4</v>
      </c>
      <c r="C50" s="9" t="s">
        <v>5</v>
      </c>
      <c r="D50" s="9" t="s">
        <v>6</v>
      </c>
      <c r="E50" s="8" t="s">
        <v>7</v>
      </c>
      <c r="F50" s="7" t="s">
        <v>253</v>
      </c>
      <c r="G50" s="7" t="s">
        <v>254</v>
      </c>
      <c r="H50" s="7" t="s">
        <v>255</v>
      </c>
      <c r="I50" s="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22.5" customHeight="1">
      <c r="A51" s="52"/>
      <c r="B51" s="45">
        <f>ROUND('数学-小节得分-2017'!B47*10%+'数学-小节得分-2020'!B47*12.5%+'数学-小节得分-2021'!B47*13.5%+'数学-小节得分-2022'!B47*14.5%+'数学-小节得分-2023'!B47*15.5%+'数学-小节得分-2024'!B47*16.5%+'数学-小节得分-2025'!B47*17.5%,1)</f>
        <v>0.8</v>
      </c>
      <c r="C51" s="46">
        <f>COUNTA(F50:Y50)</f>
        <v>3</v>
      </c>
      <c r="D51" s="47">
        <f>ROUND(B51/C51,2)</f>
        <v>0.27</v>
      </c>
      <c r="E51" s="8" t="s">
        <v>25</v>
      </c>
      <c r="F51" s="11">
        <v>0</v>
      </c>
      <c r="G51" s="11">
        <v>0</v>
      </c>
      <c r="H51" s="11">
        <v>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22.5" customHeight="1">
      <c r="B52" s="12"/>
    </row>
    <row r="53" spans="1:25" ht="22.5" customHeight="1"/>
    <row r="54" spans="1:25" ht="22.5" customHeight="1"/>
    <row r="55" spans="1:25" ht="22.5" customHeight="1"/>
    <row r="56" spans="1:25" ht="22.5" customHeight="1"/>
    <row r="57" spans="1:25" ht="22.5" customHeight="1"/>
    <row r="58" spans="1:25" ht="22.5" customHeight="1"/>
    <row r="59" spans="1:25" ht="22.5" customHeight="1"/>
    <row r="60" spans="1:25" ht="22.5" customHeight="1"/>
    <row r="61" spans="1:25" ht="22.5" customHeight="1"/>
    <row r="62" spans="1:25" ht="22.5" customHeight="1"/>
    <row r="63" spans="1:25" ht="22.5" customHeight="1"/>
    <row r="64" spans="1:25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</sheetData>
  <mergeCells count="29">
    <mergeCell ref="A42:A43"/>
    <mergeCell ref="A44:A45"/>
    <mergeCell ref="A46:A47"/>
    <mergeCell ref="A48:A49"/>
    <mergeCell ref="A50:A51"/>
    <mergeCell ref="A40:A41"/>
    <mergeCell ref="B21:E21"/>
    <mergeCell ref="A22:A23"/>
    <mergeCell ref="A24:A25"/>
    <mergeCell ref="A26:A27"/>
    <mergeCell ref="A28:A29"/>
    <mergeCell ref="A30:A31"/>
    <mergeCell ref="A32:A33"/>
    <mergeCell ref="A34:E34"/>
    <mergeCell ref="B35:E35"/>
    <mergeCell ref="A36:A37"/>
    <mergeCell ref="A38:A39"/>
    <mergeCell ref="A20:E20"/>
    <mergeCell ref="B1:E1"/>
    <mergeCell ref="A2:E2"/>
    <mergeCell ref="B3:E3"/>
    <mergeCell ref="A4:A5"/>
    <mergeCell ref="A6:A7"/>
    <mergeCell ref="A8:A9"/>
    <mergeCell ref="A10:A11"/>
    <mergeCell ref="A12:A13"/>
    <mergeCell ref="A14:A15"/>
    <mergeCell ref="A16:A17"/>
    <mergeCell ref="A18:A19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CFAB-B84D-47D0-A81F-6CD917CBCF81}">
  <sheetPr>
    <tabColor theme="7" tint="0.59999389629810485"/>
  </sheetPr>
  <dimension ref="A1:AD70"/>
  <sheetViews>
    <sheetView tabSelected="1" workbookViewId="0">
      <pane xSplit="5" topLeftCell="F1" activePane="topRight" state="frozen"/>
      <selection pane="topRight"/>
    </sheetView>
  </sheetViews>
  <sheetFormatPr defaultRowHeight="14"/>
  <cols>
    <col min="1" max="1" width="30" customWidth="1"/>
    <col min="2" max="4" width="14" customWidth="1"/>
    <col min="5" max="5" width="22" customWidth="1"/>
    <col min="6" max="30" width="32" customWidth="1"/>
  </cols>
  <sheetData>
    <row r="1" spans="1:30" ht="32" customHeight="1">
      <c r="A1" s="26" t="s">
        <v>352</v>
      </c>
      <c r="B1" s="55">
        <f>SUM(B3,B19,B33,B45)</f>
        <v>0</v>
      </c>
      <c r="C1" s="56"/>
      <c r="D1" s="56"/>
      <c r="E1" s="5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r="2" spans="1:30" ht="32" customHeight="1">
      <c r="A2" s="57" t="s">
        <v>353</v>
      </c>
      <c r="B2" s="57"/>
      <c r="C2" s="57"/>
      <c r="D2" s="57"/>
      <c r="E2" s="5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 spans="1:30" ht="28" customHeight="1">
      <c r="A3" s="28" t="s">
        <v>2</v>
      </c>
      <c r="B3" s="55">
        <f>SUM(F5:G5)*D5/100+SUM(F7:I7)*D7/100+SUM(F9:K9)*D9/100+SUM(F11:P11)*D11/100+SUM(F13:O13)*D13/100+SUM(F15:P15)*D15/100+SUM(F17:Q17)*D17/100</f>
        <v>0</v>
      </c>
      <c r="C3" s="56"/>
      <c r="D3" s="56"/>
      <c r="E3" s="5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</row>
    <row r="4" spans="1:30" ht="36" customHeight="1">
      <c r="A4" s="58" t="s">
        <v>354</v>
      </c>
      <c r="B4" s="30" t="s">
        <v>4</v>
      </c>
      <c r="C4" s="30" t="s">
        <v>5</v>
      </c>
      <c r="D4" s="30" t="s">
        <v>6</v>
      </c>
      <c r="E4" s="29" t="s">
        <v>7</v>
      </c>
      <c r="F4" s="31" t="s">
        <v>355</v>
      </c>
      <c r="G4" s="31" t="s">
        <v>356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 spans="1:30" ht="28" customHeight="1">
      <c r="A5" s="58"/>
      <c r="B5" s="32">
        <f>('408-小节得分-2017'!B3*$B$61+'408-小节得分-2018'!B3*$B$62+'408-小节得分-2019'!B3*$B$63+'408-小节得分-2020'!B3*$B$64+'408-小节得分-2021'!B3*$B$65+'408-小节得分-2022'!B3*$B$66+'408-小节得分-2023'!B3*$B$67+'408-小节得分-2024'!B3*$B$68+'408-小节得分-2025'!B3*$B$69)/SUM($B$61:$B$69)</f>
        <v>2.3149999999999999</v>
      </c>
      <c r="C5" s="33">
        <f>COUNTA(F4:G4)</f>
        <v>2</v>
      </c>
      <c r="D5" s="34">
        <f>B5/C5</f>
        <v>1.1575</v>
      </c>
      <c r="E5" s="29" t="s">
        <v>25</v>
      </c>
      <c r="F5" s="35">
        <v>0</v>
      </c>
      <c r="G5" s="35">
        <v>0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</row>
    <row r="6" spans="1:30" ht="36" customHeight="1">
      <c r="A6" s="58" t="s">
        <v>357</v>
      </c>
      <c r="B6" s="30" t="s">
        <v>4</v>
      </c>
      <c r="C6" s="30" t="s">
        <v>5</v>
      </c>
      <c r="D6" s="30" t="s">
        <v>6</v>
      </c>
      <c r="E6" s="29" t="s">
        <v>7</v>
      </c>
      <c r="F6" s="31" t="s">
        <v>358</v>
      </c>
      <c r="G6" s="31" t="s">
        <v>359</v>
      </c>
      <c r="H6" s="31" t="s">
        <v>360</v>
      </c>
      <c r="I6" s="31" t="s">
        <v>361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 spans="1:30" ht="28" customHeight="1">
      <c r="A7" s="58"/>
      <c r="B7" s="32">
        <f>('408-小节得分-2017'!B5*$B$61+'408-小节得分-2018'!B5*$B$62+'408-小节得分-2019'!B5*$B$63+'408-小节得分-2020'!B5*$B$64+'408-小节得分-2021'!B5*$B$65+'408-小节得分-2022'!B5*$B$66+'408-小节得分-2023'!B5*$B$67+'408-小节得分-2024'!B5*$B$68+'408-小节得分-2025'!B5*$B$69)/SUM($B$61:$B$69)</f>
        <v>5.88</v>
      </c>
      <c r="C7" s="33">
        <f>COUNTA(F6:I6)</f>
        <v>4</v>
      </c>
      <c r="D7" s="34">
        <f>B7/C7</f>
        <v>1.47</v>
      </c>
      <c r="E7" s="29" t="s">
        <v>25</v>
      </c>
      <c r="F7" s="35">
        <v>0</v>
      </c>
      <c r="G7" s="35">
        <v>0</v>
      </c>
      <c r="H7" s="35">
        <v>0</v>
      </c>
      <c r="I7" s="35">
        <v>0</v>
      </c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spans="1:30" ht="36" customHeight="1">
      <c r="A8" s="58" t="s">
        <v>362</v>
      </c>
      <c r="B8" s="30" t="s">
        <v>4</v>
      </c>
      <c r="C8" s="30" t="s">
        <v>5</v>
      </c>
      <c r="D8" s="30" t="s">
        <v>6</v>
      </c>
      <c r="E8" s="29" t="s">
        <v>7</v>
      </c>
      <c r="F8" s="31" t="s">
        <v>363</v>
      </c>
      <c r="G8" s="31" t="s">
        <v>364</v>
      </c>
      <c r="H8" s="31" t="s">
        <v>365</v>
      </c>
      <c r="I8" s="31" t="s">
        <v>366</v>
      </c>
      <c r="J8" s="31" t="s">
        <v>367</v>
      </c>
      <c r="K8" s="31" t="s">
        <v>368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 spans="1:30" ht="28" customHeight="1">
      <c r="A9" s="58"/>
      <c r="B9" s="32">
        <f>('408-小节得分-2017'!B7*$B$61+'408-小节得分-2018'!B7*$B$62+'408-小节得分-2019'!B7*$B$63+'408-小节得分-2020'!B7*$B$64+'408-小节得分-2021'!B7*$B$65+'408-小节得分-2022'!B7*$B$66+'408-小节得分-2023'!B7*$B$67+'408-小节得分-2024'!B7*$B$68+'408-小节得分-2025'!B7*$B$69)/SUM($B$61:$B$69)</f>
        <v>3.7899999999999996</v>
      </c>
      <c r="C9" s="33">
        <f>COUNTA(F8:K8)</f>
        <v>6</v>
      </c>
      <c r="D9" s="34">
        <f>B9/C9</f>
        <v>0.6316666666666666</v>
      </c>
      <c r="E9" s="29" t="s">
        <v>25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</row>
    <row r="10" spans="1:30" ht="44" customHeight="1">
      <c r="A10" s="58" t="s">
        <v>369</v>
      </c>
      <c r="B10" s="30" t="s">
        <v>4</v>
      </c>
      <c r="C10" s="30" t="s">
        <v>5</v>
      </c>
      <c r="D10" s="30" t="s">
        <v>6</v>
      </c>
      <c r="E10" s="29" t="s">
        <v>7</v>
      </c>
      <c r="F10" s="31" t="s">
        <v>370</v>
      </c>
      <c r="G10" s="31" t="s">
        <v>371</v>
      </c>
      <c r="H10" s="31" t="s">
        <v>372</v>
      </c>
      <c r="I10" s="31" t="s">
        <v>373</v>
      </c>
      <c r="J10" s="31" t="s">
        <v>374</v>
      </c>
      <c r="K10" s="31" t="s">
        <v>375</v>
      </c>
      <c r="L10" s="31" t="s">
        <v>376</v>
      </c>
      <c r="M10" s="31" t="s">
        <v>377</v>
      </c>
      <c r="N10" s="31" t="s">
        <v>378</v>
      </c>
      <c r="O10" s="31" t="s">
        <v>379</v>
      </c>
      <c r="P10" s="31" t="s">
        <v>380</v>
      </c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 spans="1:30" ht="28" customHeight="1">
      <c r="A11" s="58"/>
      <c r="B11" s="32">
        <f>('408-小节得分-2017'!B9*$B$61+'408-小节得分-2018'!B9*$B$62+'408-小节得分-2019'!B9*$B$63+'408-小节得分-2020'!B9*$B$64+'408-小节得分-2021'!B9*$B$65+'408-小节得分-2022'!B9*$B$66+'408-小节得分-2023'!B9*$B$67+'408-小节得分-2024'!B9*$B$68+'408-小节得分-2025'!B9*$B$69)/SUM($B$61:$B$69)</f>
        <v>9.2525000000000013</v>
      </c>
      <c r="C11" s="33">
        <f>COUNTA(F10:P10)</f>
        <v>11</v>
      </c>
      <c r="D11" s="34">
        <f>B11/C11</f>
        <v>0.84113636363636379</v>
      </c>
      <c r="E11" s="29" t="s">
        <v>25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spans="1:30" ht="44" customHeight="1">
      <c r="A12" s="58" t="s">
        <v>381</v>
      </c>
      <c r="B12" s="30" t="s">
        <v>4</v>
      </c>
      <c r="C12" s="30" t="s">
        <v>5</v>
      </c>
      <c r="D12" s="30" t="s">
        <v>6</v>
      </c>
      <c r="E12" s="29" t="s">
        <v>7</v>
      </c>
      <c r="F12" s="31" t="s">
        <v>382</v>
      </c>
      <c r="G12" s="31" t="s">
        <v>383</v>
      </c>
      <c r="H12" s="31" t="s">
        <v>384</v>
      </c>
      <c r="I12" s="31" t="s">
        <v>385</v>
      </c>
      <c r="J12" s="31" t="s">
        <v>386</v>
      </c>
      <c r="K12" s="31" t="s">
        <v>387</v>
      </c>
      <c r="L12" s="31" t="s">
        <v>388</v>
      </c>
      <c r="M12" s="31" t="s">
        <v>389</v>
      </c>
      <c r="N12" s="31" t="s">
        <v>390</v>
      </c>
      <c r="O12" s="31" t="s">
        <v>391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spans="1:30" ht="28" customHeight="1">
      <c r="A13" s="58"/>
      <c r="B13" s="32">
        <f>('408-小节得分-2017'!B11*$B$61+'408-小节得分-2018'!B11*$B$62+'408-小节得分-2019'!B11*$B$63+'408-小节得分-2020'!B11*$B$64+'408-小节得分-2021'!B11*$B$65+'408-小节得分-2022'!B11*$B$66+'408-小节得分-2023'!B11*$B$67+'408-小节得分-2024'!B11*$B$68+'408-小节得分-2025'!B11*$B$69)/SUM($B$61:$B$69)</f>
        <v>10.77</v>
      </c>
      <c r="C13" s="33">
        <f>COUNTA(F12:O12)</f>
        <v>10</v>
      </c>
      <c r="D13" s="34">
        <f>B13/C13</f>
        <v>1.077</v>
      </c>
      <c r="E13" s="29" t="s">
        <v>25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spans="1:30" ht="44" customHeight="1">
      <c r="A14" s="58" t="s">
        <v>392</v>
      </c>
      <c r="B14" s="30" t="s">
        <v>4</v>
      </c>
      <c r="C14" s="30" t="s">
        <v>5</v>
      </c>
      <c r="D14" s="30" t="s">
        <v>6</v>
      </c>
      <c r="E14" s="29" t="s">
        <v>7</v>
      </c>
      <c r="F14" s="31" t="s">
        <v>393</v>
      </c>
      <c r="G14" s="31" t="s">
        <v>394</v>
      </c>
      <c r="H14" s="31" t="s">
        <v>395</v>
      </c>
      <c r="I14" s="31" t="s">
        <v>396</v>
      </c>
      <c r="J14" s="31" t="s">
        <v>397</v>
      </c>
      <c r="K14" s="31" t="s">
        <v>398</v>
      </c>
      <c r="L14" s="31" t="s">
        <v>399</v>
      </c>
      <c r="M14" s="31" t="s">
        <v>400</v>
      </c>
      <c r="N14" s="31" t="s">
        <v>401</v>
      </c>
      <c r="O14" s="31" t="s">
        <v>402</v>
      </c>
      <c r="P14" s="31" t="s">
        <v>403</v>
      </c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spans="1:30" ht="28" customHeight="1">
      <c r="A15" s="58"/>
      <c r="B15" s="32">
        <f>('408-小节得分-2017'!B13*$B$61+'408-小节得分-2018'!B13*$B$62+'408-小节得分-2019'!B13*$B$63+'408-小节得分-2020'!B13*$B$64+'408-小节得分-2021'!B13*$B$65+'408-小节得分-2022'!B13*$B$66+'408-小节得分-2023'!B13*$B$67+'408-小节得分-2024'!B13*$B$68+'408-小节得分-2025'!B13*$B$69)/SUM($B$61:$B$69)</f>
        <v>7.2074999999999996</v>
      </c>
      <c r="C15" s="33">
        <f>COUNTA(F14:P14)</f>
        <v>11</v>
      </c>
      <c r="D15" s="34">
        <f>B15/C15</f>
        <v>0.65522727272727266</v>
      </c>
      <c r="E15" s="29" t="s">
        <v>25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spans="1:30" ht="36" customHeight="1">
      <c r="A16" s="58" t="s">
        <v>404</v>
      </c>
      <c r="B16" s="30" t="s">
        <v>4</v>
      </c>
      <c r="C16" s="30" t="s">
        <v>5</v>
      </c>
      <c r="D16" s="30" t="s">
        <v>6</v>
      </c>
      <c r="E16" s="29" t="s">
        <v>7</v>
      </c>
      <c r="F16" s="31" t="s">
        <v>405</v>
      </c>
      <c r="G16" s="31" t="s">
        <v>406</v>
      </c>
      <c r="H16" s="31" t="s">
        <v>407</v>
      </c>
      <c r="I16" s="31" t="s">
        <v>408</v>
      </c>
      <c r="J16" s="31" t="s">
        <v>409</v>
      </c>
      <c r="K16" s="31" t="s">
        <v>410</v>
      </c>
      <c r="L16" s="31" t="s">
        <v>411</v>
      </c>
      <c r="M16" s="31" t="s">
        <v>412</v>
      </c>
      <c r="N16" s="31" t="s">
        <v>413</v>
      </c>
      <c r="O16" s="31" t="s">
        <v>414</v>
      </c>
      <c r="P16" s="31" t="s">
        <v>415</v>
      </c>
      <c r="Q16" s="31" t="s">
        <v>416</v>
      </c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spans="1:30" ht="28" customHeight="1">
      <c r="A17" s="58"/>
      <c r="B17" s="32">
        <f>('408-小节得分-2017'!B15*$B$61+'408-小节得分-2018'!B15*$B$62+'408-小节得分-2019'!B15*$B$63+'408-小节得分-2020'!B15*$B$64+'408-小节得分-2021'!B15*$B$65+'408-小节得分-2022'!B15*$B$66+'408-小节得分-2023'!B15*$B$67+'408-小节得分-2024'!B15*$B$68+'408-小节得分-2025'!B15*$B$69)/SUM($B$61:$B$69)</f>
        <v>5.92</v>
      </c>
      <c r="C17" s="33">
        <f>COUNTA(F16:Q16)</f>
        <v>12</v>
      </c>
      <c r="D17" s="34">
        <f>B17/C17</f>
        <v>0.49333333333333335</v>
      </c>
      <c r="E17" s="29" t="s">
        <v>25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spans="1:30" ht="32" customHeight="1">
      <c r="A18" s="57" t="s">
        <v>417</v>
      </c>
      <c r="B18" s="57"/>
      <c r="C18" s="57"/>
      <c r="D18" s="57"/>
      <c r="E18" s="5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spans="1:30" ht="28" customHeight="1">
      <c r="A19" s="28" t="s">
        <v>2</v>
      </c>
      <c r="B19" s="55">
        <f>SUM(F21:J21)*D21/100+SUM(F23:N23)*D23/100+SUM(F25:W25)*D25/100+SUM(F27:N27)*D27/100+SUM(F29:T29)*D29/100+SUM(F31:M31)*D31/100</f>
        <v>0</v>
      </c>
      <c r="C19" s="56"/>
      <c r="D19" s="56"/>
      <c r="E19" s="5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1:30" ht="95" customHeight="1">
      <c r="A20" s="58" t="s">
        <v>418</v>
      </c>
      <c r="B20" s="30" t="s">
        <v>4</v>
      </c>
      <c r="C20" s="30" t="s">
        <v>5</v>
      </c>
      <c r="D20" s="30" t="s">
        <v>6</v>
      </c>
      <c r="E20" s="29" t="s">
        <v>7</v>
      </c>
      <c r="F20" s="31" t="s">
        <v>419</v>
      </c>
      <c r="G20" s="31" t="s">
        <v>420</v>
      </c>
      <c r="H20" s="31" t="s">
        <v>421</v>
      </c>
      <c r="I20" s="31" t="s">
        <v>422</v>
      </c>
      <c r="J20" s="31" t="s">
        <v>423</v>
      </c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spans="1:30" ht="28" customHeight="1">
      <c r="A21" s="58"/>
      <c r="B21" s="32">
        <f>('408-小节得分-2017'!B18*$B$61+'408-小节得分-2018'!B18*$B$62+'408-小节得分-2019'!B18*$B$63+'408-小节得分-2020'!B18*$B$64+'408-小节得分-2021'!B18*$B$65+'408-小节得分-2022'!B18*$B$66+'408-小节得分-2023'!B18*$B$67+'408-小节得分-2024'!B18*$B$68+'408-小节得分-2025'!B18*$B$69)/SUM($B$61:$B$69)</f>
        <v>1.53</v>
      </c>
      <c r="C21" s="33">
        <f>COUNTA(F20:J20)</f>
        <v>5</v>
      </c>
      <c r="D21" s="34">
        <f>B21/C21</f>
        <v>0.30599999999999999</v>
      </c>
      <c r="E21" s="29" t="s">
        <v>25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1:30" ht="61" customHeight="1">
      <c r="A22" s="58" t="s">
        <v>424</v>
      </c>
      <c r="B22" s="30" t="s">
        <v>4</v>
      </c>
      <c r="C22" s="30" t="s">
        <v>5</v>
      </c>
      <c r="D22" s="30" t="s">
        <v>6</v>
      </c>
      <c r="E22" s="29" t="s">
        <v>7</v>
      </c>
      <c r="F22" s="31" t="s">
        <v>425</v>
      </c>
      <c r="G22" s="31" t="s">
        <v>426</v>
      </c>
      <c r="H22" s="31" t="s">
        <v>427</v>
      </c>
      <c r="I22" s="31" t="s">
        <v>428</v>
      </c>
      <c r="J22" s="31" t="s">
        <v>429</v>
      </c>
      <c r="K22" s="31" t="s">
        <v>430</v>
      </c>
      <c r="L22" s="31" t="s">
        <v>431</v>
      </c>
      <c r="M22" s="31" t="s">
        <v>432</v>
      </c>
      <c r="N22" s="31" t="s">
        <v>433</v>
      </c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 spans="1:30" ht="28" customHeight="1">
      <c r="A23" s="58"/>
      <c r="B23" s="32">
        <f>('408-小节得分-2017'!B20*$B$61+'408-小节得分-2018'!B20*$B$62+'408-小节得分-2019'!B20*$B$63+'408-小节得分-2020'!B20*$B$64+'408-小节得分-2021'!B20*$B$65+'408-小节得分-2022'!B20*$B$66+'408-小节得分-2023'!B20*$B$67+'408-小节得分-2024'!B20*$B$68+'408-小节得分-2025'!B20*$B$69)/SUM($B$61:$B$69)</f>
        <v>10.2525</v>
      </c>
      <c r="C23" s="33">
        <f>COUNTA(F22:N22)</f>
        <v>9</v>
      </c>
      <c r="D23" s="34">
        <f>B23/C23</f>
        <v>1.1391666666666667</v>
      </c>
      <c r="E23" s="29" t="s">
        <v>25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spans="1:30" ht="44" customHeight="1">
      <c r="A24" s="58" t="s">
        <v>434</v>
      </c>
      <c r="B24" s="30" t="s">
        <v>4</v>
      </c>
      <c r="C24" s="30" t="s">
        <v>5</v>
      </c>
      <c r="D24" s="30" t="s">
        <v>6</v>
      </c>
      <c r="E24" s="29" t="s">
        <v>7</v>
      </c>
      <c r="F24" s="31" t="s">
        <v>435</v>
      </c>
      <c r="G24" s="31" t="s">
        <v>436</v>
      </c>
      <c r="H24" s="31" t="s">
        <v>437</v>
      </c>
      <c r="I24" s="31" t="s">
        <v>438</v>
      </c>
      <c r="J24" s="31" t="s">
        <v>439</v>
      </c>
      <c r="K24" s="31" t="s">
        <v>440</v>
      </c>
      <c r="L24" s="31" t="s">
        <v>441</v>
      </c>
      <c r="M24" s="31" t="s">
        <v>442</v>
      </c>
      <c r="N24" s="31" t="s">
        <v>443</v>
      </c>
      <c r="O24" s="31" t="s">
        <v>444</v>
      </c>
      <c r="P24" s="31" t="s">
        <v>445</v>
      </c>
      <c r="Q24" s="31" t="s">
        <v>446</v>
      </c>
      <c r="R24" s="31" t="s">
        <v>447</v>
      </c>
      <c r="S24" s="31" t="s">
        <v>448</v>
      </c>
      <c r="T24" s="31" t="s">
        <v>449</v>
      </c>
      <c r="U24" s="31" t="s">
        <v>450</v>
      </c>
      <c r="V24" s="31" t="s">
        <v>451</v>
      </c>
      <c r="W24" s="31" t="s">
        <v>452</v>
      </c>
      <c r="X24" s="27"/>
      <c r="Y24" s="27"/>
      <c r="Z24" s="27"/>
      <c r="AA24" s="27"/>
      <c r="AB24" s="27"/>
      <c r="AC24" s="27"/>
      <c r="AD24" s="27"/>
    </row>
    <row r="25" spans="1:30" ht="28" customHeight="1">
      <c r="A25" s="58"/>
      <c r="B25" s="32">
        <f>('408-小节得分-2017'!B22*$B$61+'408-小节得分-2018'!B22*$B$62+'408-小节得分-2019'!B22*$B$63+'408-小节得分-2020'!B22*$B$64+'408-小节得分-2021'!B22*$B$65+'408-小节得分-2022'!B22*$B$66+'408-小节得分-2023'!B22*$B$67+'408-小节得分-2024'!B22*$B$68+'408-小节得分-2025'!B22*$B$69)/SUM($B$61:$B$69)</f>
        <v>11.879999999999999</v>
      </c>
      <c r="C25" s="33">
        <f>COUNTA(F24:W24)</f>
        <v>18</v>
      </c>
      <c r="D25" s="34">
        <f>B25/C25</f>
        <v>0.65999999999999992</v>
      </c>
      <c r="E25" s="29" t="s">
        <v>25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  <c r="X25" s="27"/>
      <c r="Y25" s="27"/>
      <c r="Z25" s="27"/>
      <c r="AA25" s="27"/>
      <c r="AB25" s="27"/>
      <c r="AC25" s="27"/>
      <c r="AD25" s="27"/>
    </row>
    <row r="26" spans="1:30" ht="44" customHeight="1">
      <c r="A26" s="58" t="s">
        <v>453</v>
      </c>
      <c r="B26" s="30" t="s">
        <v>4</v>
      </c>
      <c r="C26" s="30" t="s">
        <v>5</v>
      </c>
      <c r="D26" s="30" t="s">
        <v>6</v>
      </c>
      <c r="E26" s="29" t="s">
        <v>7</v>
      </c>
      <c r="F26" s="31" t="s">
        <v>454</v>
      </c>
      <c r="G26" s="31" t="s">
        <v>455</v>
      </c>
      <c r="H26" s="31" t="s">
        <v>456</v>
      </c>
      <c r="I26" s="31" t="s">
        <v>457</v>
      </c>
      <c r="J26" s="31" t="s">
        <v>458</v>
      </c>
      <c r="K26" s="31" t="s">
        <v>459</v>
      </c>
      <c r="L26" s="31" t="s">
        <v>460</v>
      </c>
      <c r="M26" s="31" t="s">
        <v>461</v>
      </c>
      <c r="N26" s="31" t="s">
        <v>462</v>
      </c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 spans="1:30" ht="28" customHeight="1">
      <c r="A27" s="58"/>
      <c r="B27" s="32">
        <f>('408-小节得分-2017'!B24*$B$61+'408-小节得分-2018'!B24*$B$62+'408-小节得分-2019'!B24*$B$63+'408-小节得分-2020'!B24*$B$64+'408-小节得分-2021'!B24*$B$65+'408-小节得分-2022'!B24*$B$66+'408-小节得分-2023'!B24*$B$67+'408-小节得分-2024'!B24*$B$68+'408-小节得分-2025'!B24*$B$69)/SUM($B$61:$B$69)</f>
        <v>7.6</v>
      </c>
      <c r="C27" s="33">
        <f>COUNTA(F26:N26)</f>
        <v>9</v>
      </c>
      <c r="D27" s="34">
        <f>B27/C27</f>
        <v>0.84444444444444444</v>
      </c>
      <c r="E27" s="29" t="s">
        <v>25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 spans="1:30" ht="44" customHeight="1">
      <c r="A28" s="58" t="s">
        <v>463</v>
      </c>
      <c r="B28" s="30" t="s">
        <v>4</v>
      </c>
      <c r="C28" s="30" t="s">
        <v>5</v>
      </c>
      <c r="D28" s="30" t="s">
        <v>6</v>
      </c>
      <c r="E28" s="29" t="s">
        <v>7</v>
      </c>
      <c r="F28" s="31" t="s">
        <v>464</v>
      </c>
      <c r="G28" s="31" t="s">
        <v>465</v>
      </c>
      <c r="H28" s="31" t="s">
        <v>466</v>
      </c>
      <c r="I28" s="31" t="s">
        <v>467</v>
      </c>
      <c r="J28" s="31" t="s">
        <v>468</v>
      </c>
      <c r="K28" s="31" t="s">
        <v>469</v>
      </c>
      <c r="L28" s="31" t="s">
        <v>470</v>
      </c>
      <c r="M28" s="31" t="s">
        <v>471</v>
      </c>
      <c r="N28" s="31" t="s">
        <v>472</v>
      </c>
      <c r="O28" s="31" t="s">
        <v>473</v>
      </c>
      <c r="P28" s="31" t="s">
        <v>474</v>
      </c>
      <c r="Q28" s="31" t="s">
        <v>475</v>
      </c>
      <c r="R28" s="31" t="s">
        <v>476</v>
      </c>
      <c r="S28" s="31" t="s">
        <v>477</v>
      </c>
      <c r="T28" s="31" t="s">
        <v>478</v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 spans="1:30" ht="28" customHeight="1">
      <c r="A29" s="58"/>
      <c r="B29" s="32">
        <f>('408-小节得分-2017'!B26*$B$61+'408-小节得分-2018'!B26*$B$62+'408-小节得分-2019'!B26*$B$63+'408-小节得分-2020'!B26*$B$64+'408-小节得分-2021'!B26*$B$65+'408-小节得分-2022'!B26*$B$66+'408-小节得分-2023'!B26*$B$67+'408-小节得分-2024'!B26*$B$68+'408-小节得分-2025'!B26*$B$69)/SUM($B$61:$B$69)</f>
        <v>7.7925000000000004</v>
      </c>
      <c r="C29" s="33">
        <f>COUNTA(F28:T28)</f>
        <v>15</v>
      </c>
      <c r="D29" s="34">
        <f>B29/C29</f>
        <v>0.51950000000000007</v>
      </c>
      <c r="E29" s="29" t="s">
        <v>25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 spans="1:30" ht="78" customHeight="1">
      <c r="A30" s="58" t="s">
        <v>479</v>
      </c>
      <c r="B30" s="30" t="s">
        <v>4</v>
      </c>
      <c r="C30" s="30" t="s">
        <v>5</v>
      </c>
      <c r="D30" s="30" t="s">
        <v>6</v>
      </c>
      <c r="E30" s="29" t="s">
        <v>7</v>
      </c>
      <c r="F30" s="31" t="s">
        <v>480</v>
      </c>
      <c r="G30" s="31" t="s">
        <v>481</v>
      </c>
      <c r="H30" s="31" t="s">
        <v>482</v>
      </c>
      <c r="I30" s="31" t="s">
        <v>483</v>
      </c>
      <c r="J30" s="31" t="s">
        <v>484</v>
      </c>
      <c r="K30" s="31" t="s">
        <v>485</v>
      </c>
      <c r="L30" s="31" t="s">
        <v>486</v>
      </c>
      <c r="M30" s="31" t="s">
        <v>487</v>
      </c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 spans="1:30" ht="28" customHeight="1">
      <c r="A31" s="58"/>
      <c r="B31" s="32">
        <f>('408-小节得分-2017'!B28*$B$61+'408-小节得分-2018'!B28*$B$62+'408-小节得分-2019'!B28*$B$63+'408-小节得分-2020'!B28*$B$64+'408-小节得分-2021'!B28*$B$65+'408-小节得分-2022'!B28*$B$66+'408-小节得分-2023'!B28*$B$67+'408-小节得分-2024'!B28*$B$68+'408-小节得分-2025'!B28*$B$69)/SUM($B$61:$B$69)</f>
        <v>5.9450000000000003</v>
      </c>
      <c r="C31" s="33">
        <f>COUNTA(F30:M30)</f>
        <v>8</v>
      </c>
      <c r="D31" s="34">
        <f>B31/C31</f>
        <v>0.74312500000000004</v>
      </c>
      <c r="E31" s="29" t="s">
        <v>25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 spans="1:30" ht="32" customHeight="1">
      <c r="A32" s="57" t="s">
        <v>488</v>
      </c>
      <c r="B32" s="57"/>
      <c r="C32" s="57"/>
      <c r="D32" s="57"/>
      <c r="E32" s="5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 spans="1:30" ht="28" customHeight="1">
      <c r="A33" s="28" t="s">
        <v>2</v>
      </c>
      <c r="B33" s="55">
        <f>SUM(F35:O35)*D35/100+SUM(F37:Z37)*D37/100+SUM(F39:P39)*D39/100+SUM(F41:S41)*D41/100+SUM(F43:O43)*D43/100</f>
        <v>0</v>
      </c>
      <c r="C33" s="56"/>
      <c r="D33" s="56"/>
      <c r="E33" s="5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</row>
    <row r="34" spans="1:30" ht="44" customHeight="1">
      <c r="A34" s="58" t="s">
        <v>489</v>
      </c>
      <c r="B34" s="30" t="s">
        <v>4</v>
      </c>
      <c r="C34" s="30" t="s">
        <v>5</v>
      </c>
      <c r="D34" s="30" t="s">
        <v>6</v>
      </c>
      <c r="E34" s="29" t="s">
        <v>7</v>
      </c>
      <c r="F34" s="31" t="s">
        <v>490</v>
      </c>
      <c r="G34" s="31" t="s">
        <v>491</v>
      </c>
      <c r="H34" s="31" t="s">
        <v>492</v>
      </c>
      <c r="I34" s="31" t="s">
        <v>493</v>
      </c>
      <c r="J34" s="31" t="s">
        <v>494</v>
      </c>
      <c r="K34" s="31" t="s">
        <v>495</v>
      </c>
      <c r="L34" s="31" t="s">
        <v>496</v>
      </c>
      <c r="M34" s="31" t="s">
        <v>497</v>
      </c>
      <c r="N34" s="31" t="s">
        <v>498</v>
      </c>
      <c r="O34" s="31" t="s">
        <v>499</v>
      </c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</row>
    <row r="35" spans="1:30" ht="28" customHeight="1">
      <c r="A35" s="58"/>
      <c r="B35" s="32">
        <f>('408-小节得分-2017'!B31*$B$61+'408-小节得分-2018'!B31*$B$62+'408-小节得分-2019'!B31*$B$63+'408-小节得分-2020'!B31*$B$64+'408-小节得分-2021'!B31*$B$65+'408-小节得分-2022'!B31*$B$66+'408-小节得分-2023'!B31*$B$67+'408-小节得分-2024'!B31*$B$68+'408-小节得分-2025'!B31*$B$69)/SUM($B$61:$B$69)</f>
        <v>5.1025</v>
      </c>
      <c r="C35" s="33">
        <f>COUNTA(F34:O34)</f>
        <v>10</v>
      </c>
      <c r="D35" s="34">
        <f>B35/C35</f>
        <v>0.51024999999999998</v>
      </c>
      <c r="E35" s="29" t="s">
        <v>25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</row>
    <row r="36" spans="1:30" ht="95" customHeight="1">
      <c r="A36" s="58" t="s">
        <v>500</v>
      </c>
      <c r="B36" s="30" t="s">
        <v>4</v>
      </c>
      <c r="C36" s="30" t="s">
        <v>5</v>
      </c>
      <c r="D36" s="30" t="s">
        <v>6</v>
      </c>
      <c r="E36" s="29" t="s">
        <v>7</v>
      </c>
      <c r="F36" s="31" t="s">
        <v>501</v>
      </c>
      <c r="G36" s="31" t="s">
        <v>502</v>
      </c>
      <c r="H36" s="31" t="s">
        <v>503</v>
      </c>
      <c r="I36" s="31" t="s">
        <v>504</v>
      </c>
      <c r="J36" s="31" t="s">
        <v>505</v>
      </c>
      <c r="K36" s="31" t="s">
        <v>506</v>
      </c>
      <c r="L36" s="31" t="s">
        <v>507</v>
      </c>
      <c r="M36" s="31" t="s">
        <v>508</v>
      </c>
      <c r="N36" s="31" t="s">
        <v>509</v>
      </c>
      <c r="O36" s="31" t="s">
        <v>510</v>
      </c>
      <c r="P36" s="31" t="s">
        <v>511</v>
      </c>
      <c r="Q36" s="31" t="s">
        <v>512</v>
      </c>
      <c r="R36" s="31" t="s">
        <v>513</v>
      </c>
      <c r="S36" s="31" t="s">
        <v>514</v>
      </c>
      <c r="T36" s="31" t="s">
        <v>515</v>
      </c>
      <c r="U36" s="31" t="s">
        <v>516</v>
      </c>
      <c r="V36" s="31" t="s">
        <v>517</v>
      </c>
      <c r="W36" s="31" t="s">
        <v>518</v>
      </c>
      <c r="X36" s="31" t="s">
        <v>519</v>
      </c>
      <c r="Y36" s="31" t="s">
        <v>520</v>
      </c>
      <c r="Z36" s="31" t="s">
        <v>521</v>
      </c>
      <c r="AA36" s="27"/>
      <c r="AB36" s="27"/>
      <c r="AC36" s="27"/>
      <c r="AD36" s="27"/>
    </row>
    <row r="37" spans="1:30" ht="28" customHeight="1">
      <c r="A37" s="58"/>
      <c r="B37" s="32">
        <f>('408-小节得分-2017'!B33*$B$61+'408-小节得分-2018'!B33*$B$62+'408-小节得分-2019'!B33*$B$63+'408-小节得分-2020'!B33*$B$64+'408-小节得分-2021'!B33*$B$65+'408-小节得分-2022'!B33*$B$66+'408-小节得分-2023'!B33*$B$67+'408-小节得分-2024'!B33*$B$68+'408-小节得分-2025'!B33*$B$69)/SUM($B$61:$B$69)</f>
        <v>14.389999999999999</v>
      </c>
      <c r="C37" s="33">
        <f>COUNTA(F36:Z36)</f>
        <v>21</v>
      </c>
      <c r="D37" s="34">
        <f>B37/C37</f>
        <v>0.6852380952380952</v>
      </c>
      <c r="E37" s="29" t="s">
        <v>25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  <c r="U37" s="35">
        <v>0</v>
      </c>
      <c r="V37" s="35">
        <v>0</v>
      </c>
      <c r="W37" s="35">
        <v>0</v>
      </c>
      <c r="X37" s="35">
        <v>0</v>
      </c>
      <c r="Y37" s="35">
        <v>0</v>
      </c>
      <c r="Z37" s="35">
        <v>0</v>
      </c>
      <c r="AA37" s="27"/>
      <c r="AB37" s="27"/>
      <c r="AC37" s="27"/>
      <c r="AD37" s="27"/>
    </row>
    <row r="38" spans="1:30" ht="78" customHeight="1">
      <c r="A38" s="58" t="s">
        <v>522</v>
      </c>
      <c r="B38" s="30" t="s">
        <v>4</v>
      </c>
      <c r="C38" s="30" t="s">
        <v>5</v>
      </c>
      <c r="D38" s="30" t="s">
        <v>6</v>
      </c>
      <c r="E38" s="29" t="s">
        <v>7</v>
      </c>
      <c r="F38" s="31" t="s">
        <v>523</v>
      </c>
      <c r="G38" s="31" t="s">
        <v>524</v>
      </c>
      <c r="H38" s="31" t="s">
        <v>525</v>
      </c>
      <c r="I38" s="31" t="s">
        <v>526</v>
      </c>
      <c r="J38" s="31" t="s">
        <v>527</v>
      </c>
      <c r="K38" s="31" t="s">
        <v>528</v>
      </c>
      <c r="L38" s="31" t="s">
        <v>529</v>
      </c>
      <c r="M38" s="31" t="s">
        <v>530</v>
      </c>
      <c r="N38" s="31" t="s">
        <v>531</v>
      </c>
      <c r="O38" s="31" t="s">
        <v>532</v>
      </c>
      <c r="P38" s="31" t="s">
        <v>533</v>
      </c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</row>
    <row r="39" spans="1:30" ht="28" customHeight="1">
      <c r="A39" s="58"/>
      <c r="B39" s="32">
        <f>('408-小节得分-2017'!B35*$B$61+'408-小节得分-2018'!B35*$B$62+'408-小节得分-2019'!B35*$B$63+'408-小节得分-2020'!B35*$B$64+'408-小节得分-2021'!B35*$B$65+'408-小节得分-2022'!B35*$B$66+'408-小节得分-2023'!B35*$B$67+'408-小节得分-2024'!B35*$B$68+'408-小节得分-2025'!B35*$B$69)/SUM($B$61:$B$69)</f>
        <v>6.5600000000000005</v>
      </c>
      <c r="C39" s="33">
        <f>COUNTA(F38:P38)</f>
        <v>11</v>
      </c>
      <c r="D39" s="34">
        <f>B39/C39</f>
        <v>0.59636363636363643</v>
      </c>
      <c r="E39" s="29" t="s">
        <v>25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</row>
    <row r="40" spans="1:30" ht="61" customHeight="1">
      <c r="A40" s="58" t="s">
        <v>534</v>
      </c>
      <c r="B40" s="30" t="s">
        <v>4</v>
      </c>
      <c r="C40" s="30" t="s">
        <v>5</v>
      </c>
      <c r="D40" s="30" t="s">
        <v>6</v>
      </c>
      <c r="E40" s="29" t="s">
        <v>7</v>
      </c>
      <c r="F40" s="31" t="s">
        <v>535</v>
      </c>
      <c r="G40" s="31" t="s">
        <v>536</v>
      </c>
      <c r="H40" s="31" t="s">
        <v>537</v>
      </c>
      <c r="I40" s="31" t="s">
        <v>538</v>
      </c>
      <c r="J40" s="31" t="s">
        <v>539</v>
      </c>
      <c r="K40" s="31" t="s">
        <v>540</v>
      </c>
      <c r="L40" s="31" t="s">
        <v>541</v>
      </c>
      <c r="M40" s="31" t="s">
        <v>542</v>
      </c>
      <c r="N40" s="31" t="s">
        <v>543</v>
      </c>
      <c r="O40" s="31" t="s">
        <v>544</v>
      </c>
      <c r="P40" s="31" t="s">
        <v>545</v>
      </c>
      <c r="Q40" s="31" t="s">
        <v>546</v>
      </c>
      <c r="R40" s="31" t="s">
        <v>547</v>
      </c>
      <c r="S40" s="31" t="s">
        <v>548</v>
      </c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</row>
    <row r="41" spans="1:30" ht="28" customHeight="1">
      <c r="A41" s="58"/>
      <c r="B41" s="32">
        <f>('408-小节得分-2017'!B37*$B$61+'408-小节得分-2018'!B37*$B$62+'408-小节得分-2019'!B37*$B$63+'408-小节得分-2020'!B37*$B$64+'408-小节得分-2021'!B37*$B$65+'408-小节得分-2022'!B37*$B$66+'408-小节得分-2023'!B37*$B$67+'408-小节得分-2024'!B37*$B$68+'408-小节得分-2025'!B37*$B$69)/SUM($B$61:$B$69)</f>
        <v>5.0200000000000014</v>
      </c>
      <c r="C41" s="33">
        <f>COUNTA(F40:S40)</f>
        <v>14</v>
      </c>
      <c r="D41" s="34">
        <f>B41/C41</f>
        <v>0.35857142857142865</v>
      </c>
      <c r="E41" s="29" t="s">
        <v>25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</row>
    <row r="42" spans="1:30" ht="61" customHeight="1">
      <c r="A42" s="58" t="s">
        <v>549</v>
      </c>
      <c r="B42" s="30" t="s">
        <v>4</v>
      </c>
      <c r="C42" s="30" t="s">
        <v>5</v>
      </c>
      <c r="D42" s="30" t="s">
        <v>6</v>
      </c>
      <c r="E42" s="29" t="s">
        <v>7</v>
      </c>
      <c r="F42" s="31" t="s">
        <v>550</v>
      </c>
      <c r="G42" s="31" t="s">
        <v>551</v>
      </c>
      <c r="H42" s="31" t="s">
        <v>552</v>
      </c>
      <c r="I42" s="31" t="s">
        <v>553</v>
      </c>
      <c r="J42" s="31" t="s">
        <v>554</v>
      </c>
      <c r="K42" s="31" t="s">
        <v>555</v>
      </c>
      <c r="L42" s="31" t="s">
        <v>556</v>
      </c>
      <c r="M42" s="31" t="s">
        <v>557</v>
      </c>
      <c r="N42" s="31" t="s">
        <v>558</v>
      </c>
      <c r="O42" s="31" t="s">
        <v>559</v>
      </c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</row>
    <row r="43" spans="1:30" ht="28" customHeight="1">
      <c r="A43" s="58"/>
      <c r="B43" s="32">
        <f>('408-小节得分-2017'!B39*$B$61+'408-小节得分-2018'!B39*$B$62+'408-小节得分-2019'!B39*$B$63+'408-小节得分-2020'!B39*$B$64+'408-小节得分-2021'!B39*$B$65+'408-小节得分-2022'!B39*$B$66+'408-小节得分-2023'!B39*$B$67+'408-小节得分-2024'!B39*$B$68+'408-小节得分-2025'!B39*$B$69)/SUM($B$61:$B$69)</f>
        <v>3.7925000000000004</v>
      </c>
      <c r="C43" s="33">
        <f>COUNTA(F42:O42)</f>
        <v>10</v>
      </c>
      <c r="D43" s="34">
        <f>B43/C43</f>
        <v>0.37925000000000003</v>
      </c>
      <c r="E43" s="29" t="s">
        <v>25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</row>
    <row r="44" spans="1:30" ht="32" customHeight="1">
      <c r="A44" s="57" t="s">
        <v>560</v>
      </c>
      <c r="B44" s="57"/>
      <c r="C44" s="57"/>
      <c r="D44" s="57"/>
      <c r="E44" s="5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</row>
    <row r="45" spans="1:30" ht="28" customHeight="1">
      <c r="A45" s="28" t="s">
        <v>2</v>
      </c>
      <c r="B45" s="55">
        <f>SUM(F47:K47)*D47/100+SUM(F49:N49)*D49/100+SUM(F51:W51)*D51/100+SUM(F53:AD53)*D53/100+SUM(F55:O55)*D55/100+SUM(F57:Q57)*D57/100</f>
        <v>0</v>
      </c>
      <c r="C45" s="56"/>
      <c r="D45" s="56"/>
      <c r="E45" s="5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</row>
    <row r="46" spans="1:30" ht="44" customHeight="1">
      <c r="A46" s="58" t="s">
        <v>561</v>
      </c>
      <c r="B46" s="30" t="s">
        <v>4</v>
      </c>
      <c r="C46" s="30" t="s">
        <v>5</v>
      </c>
      <c r="D46" s="30" t="s">
        <v>6</v>
      </c>
      <c r="E46" s="29" t="s">
        <v>7</v>
      </c>
      <c r="F46" s="31" t="s">
        <v>562</v>
      </c>
      <c r="G46" s="31" t="s">
        <v>563</v>
      </c>
      <c r="H46" s="31" t="s">
        <v>564</v>
      </c>
      <c r="I46" s="31" t="s">
        <v>565</v>
      </c>
      <c r="J46" s="31" t="s">
        <v>566</v>
      </c>
      <c r="K46" s="31" t="s">
        <v>567</v>
      </c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</row>
    <row r="47" spans="1:30" ht="28" customHeight="1">
      <c r="A47" s="58"/>
      <c r="B47" s="32">
        <f>('408-小节得分-2017'!B42*$B$61+'408-小节得分-2018'!B42*$B$62+'408-小节得分-2019'!B42*$B$63+'408-小节得分-2020'!B42*$B$64+'408-小节得分-2021'!B42*$B$65+'408-小节得分-2022'!B42*$B$66+'408-小节得分-2023'!B42*$B$67+'408-小节得分-2024'!B42*$B$68+'408-小节得分-2025'!B42*$B$69)/SUM($B$61:$B$69)</f>
        <v>2.2450000000000001</v>
      </c>
      <c r="C47" s="33">
        <f>COUNTA(F46:K46)</f>
        <v>6</v>
      </c>
      <c r="D47" s="34">
        <f>B47/C47</f>
        <v>0.3741666666666667</v>
      </c>
      <c r="E47" s="29" t="s">
        <v>25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</row>
    <row r="48" spans="1:30" ht="61" customHeight="1">
      <c r="A48" s="58" t="s">
        <v>568</v>
      </c>
      <c r="B48" s="30" t="s">
        <v>4</v>
      </c>
      <c r="C48" s="30" t="s">
        <v>5</v>
      </c>
      <c r="D48" s="30" t="s">
        <v>6</v>
      </c>
      <c r="E48" s="29" t="s">
        <v>7</v>
      </c>
      <c r="F48" s="31" t="s">
        <v>569</v>
      </c>
      <c r="G48" s="31" t="s">
        <v>570</v>
      </c>
      <c r="H48" s="31" t="s">
        <v>571</v>
      </c>
      <c r="I48" s="31" t="s">
        <v>572</v>
      </c>
      <c r="J48" s="31" t="s">
        <v>573</v>
      </c>
      <c r="K48" s="31" t="s">
        <v>574</v>
      </c>
      <c r="L48" s="31" t="s">
        <v>575</v>
      </c>
      <c r="M48" s="31" t="s">
        <v>576</v>
      </c>
      <c r="N48" s="31" t="s">
        <v>577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</row>
    <row r="49" spans="1:30" ht="28" customHeight="1">
      <c r="A49" s="58"/>
      <c r="B49" s="32">
        <f>('408-小节得分-2017'!B44*$B$61+'408-小节得分-2018'!B44*$B$62+'408-小节得分-2019'!B44*$B$63+'408-小节得分-2020'!B44*$B$64+'408-小节得分-2021'!B44*$B$65+'408-小节得分-2022'!B44*$B$66+'408-小节得分-2023'!B44*$B$67+'408-小节得分-2024'!B44*$B$68+'408-小节得分-2025'!B44*$B$69)/SUM($B$61:$B$69)</f>
        <v>2.085</v>
      </c>
      <c r="C49" s="33">
        <f>COUNTA(F48:N48)</f>
        <v>9</v>
      </c>
      <c r="D49" s="34">
        <f>B49/C49</f>
        <v>0.23166666666666666</v>
      </c>
      <c r="E49" s="29" t="s">
        <v>25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</row>
    <row r="50" spans="1:30" ht="61" customHeight="1">
      <c r="A50" s="58" t="s">
        <v>578</v>
      </c>
      <c r="B50" s="30" t="s">
        <v>4</v>
      </c>
      <c r="C50" s="30" t="s">
        <v>5</v>
      </c>
      <c r="D50" s="30" t="s">
        <v>6</v>
      </c>
      <c r="E50" s="29" t="s">
        <v>7</v>
      </c>
      <c r="F50" s="31" t="s">
        <v>579</v>
      </c>
      <c r="G50" s="31" t="s">
        <v>580</v>
      </c>
      <c r="H50" s="31" t="s">
        <v>581</v>
      </c>
      <c r="I50" s="31" t="s">
        <v>582</v>
      </c>
      <c r="J50" s="31" t="s">
        <v>583</v>
      </c>
      <c r="K50" s="31" t="s">
        <v>584</v>
      </c>
      <c r="L50" s="31" t="s">
        <v>585</v>
      </c>
      <c r="M50" s="31" t="s">
        <v>586</v>
      </c>
      <c r="N50" s="31" t="s">
        <v>587</v>
      </c>
      <c r="O50" s="31" t="s">
        <v>588</v>
      </c>
      <c r="P50" s="31" t="s">
        <v>589</v>
      </c>
      <c r="Q50" s="31" t="s">
        <v>590</v>
      </c>
      <c r="R50" s="31" t="s">
        <v>591</v>
      </c>
      <c r="S50" s="31" t="s">
        <v>592</v>
      </c>
      <c r="T50" s="31" t="s">
        <v>593</v>
      </c>
      <c r="U50" s="31" t="s">
        <v>594</v>
      </c>
      <c r="V50" s="31" t="s">
        <v>595</v>
      </c>
      <c r="W50" s="31" t="s">
        <v>596</v>
      </c>
      <c r="X50" s="27"/>
      <c r="Y50" s="27"/>
      <c r="Z50" s="27"/>
      <c r="AA50" s="27"/>
      <c r="AB50" s="27"/>
      <c r="AC50" s="27"/>
      <c r="AD50" s="27"/>
    </row>
    <row r="51" spans="1:30" ht="28" customHeight="1">
      <c r="A51" s="58"/>
      <c r="B51" s="32">
        <f>('408-小节得分-2017'!B46*$B$61+'408-小节得分-2018'!B46*$B$62+'408-小节得分-2019'!B46*$B$63+'408-小节得分-2020'!B46*$B$64+'408-小节得分-2021'!B46*$B$65+'408-小节得分-2022'!B46*$B$66+'408-小节得分-2023'!B46*$B$67+'408-小节得分-2024'!B46*$B$68+'408-小节得分-2025'!B46*$B$69)/SUM($B$61:$B$69)</f>
        <v>5.8825000000000003</v>
      </c>
      <c r="C51" s="33">
        <f>COUNTA(F50:W50)</f>
        <v>18</v>
      </c>
      <c r="D51" s="34">
        <f>B51/C51</f>
        <v>0.32680555555555557</v>
      </c>
      <c r="E51" s="29" t="s">
        <v>25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  <c r="U51" s="35">
        <v>0</v>
      </c>
      <c r="V51" s="35">
        <v>0</v>
      </c>
      <c r="W51" s="35">
        <v>0</v>
      </c>
      <c r="X51" s="27"/>
      <c r="Y51" s="27"/>
      <c r="Z51" s="27"/>
      <c r="AA51" s="27"/>
      <c r="AB51" s="27"/>
      <c r="AC51" s="27"/>
      <c r="AD51" s="27"/>
    </row>
    <row r="52" spans="1:30" ht="44" customHeight="1">
      <c r="A52" s="58" t="s">
        <v>597</v>
      </c>
      <c r="B52" s="30" t="s">
        <v>4</v>
      </c>
      <c r="C52" s="30" t="s">
        <v>5</v>
      </c>
      <c r="D52" s="30" t="s">
        <v>6</v>
      </c>
      <c r="E52" s="29" t="s">
        <v>7</v>
      </c>
      <c r="F52" s="31" t="s">
        <v>598</v>
      </c>
      <c r="G52" s="31" t="s">
        <v>599</v>
      </c>
      <c r="H52" s="31" t="s">
        <v>600</v>
      </c>
      <c r="I52" s="31" t="s">
        <v>601</v>
      </c>
      <c r="J52" s="31" t="s">
        <v>602</v>
      </c>
      <c r="K52" s="31" t="s">
        <v>603</v>
      </c>
      <c r="L52" s="31" t="s">
        <v>604</v>
      </c>
      <c r="M52" s="31" t="s">
        <v>605</v>
      </c>
      <c r="N52" s="31" t="s">
        <v>606</v>
      </c>
      <c r="O52" s="31" t="s">
        <v>607</v>
      </c>
      <c r="P52" s="31" t="s">
        <v>608</v>
      </c>
      <c r="Q52" s="31" t="s">
        <v>609</v>
      </c>
      <c r="R52" s="31" t="s">
        <v>610</v>
      </c>
      <c r="S52" s="31" t="s">
        <v>611</v>
      </c>
      <c r="T52" s="31" t="s">
        <v>612</v>
      </c>
      <c r="U52" s="31" t="s">
        <v>613</v>
      </c>
      <c r="V52" s="31" t="s">
        <v>614</v>
      </c>
      <c r="W52" s="31" t="s">
        <v>615</v>
      </c>
      <c r="X52" s="31" t="s">
        <v>616</v>
      </c>
      <c r="Y52" s="31" t="s">
        <v>617</v>
      </c>
      <c r="Z52" s="31" t="s">
        <v>618</v>
      </c>
      <c r="AA52" s="31" t="s">
        <v>619</v>
      </c>
      <c r="AB52" s="31" t="s">
        <v>620</v>
      </c>
      <c r="AC52" s="31" t="s">
        <v>621</v>
      </c>
      <c r="AD52" s="31" t="s">
        <v>622</v>
      </c>
    </row>
    <row r="53" spans="1:30" ht="28" customHeight="1">
      <c r="A53" s="58"/>
      <c r="B53" s="32">
        <f>('408-小节得分-2017'!B48*$B$61+'408-小节得分-2018'!B48*$B$62+'408-小节得分-2019'!B48*$B$63+'408-小节得分-2020'!B48*$B$64+'408-小节得分-2021'!B48*$B$65+'408-小节得分-2022'!B48*$B$66+'408-小节得分-2023'!B48*$B$67+'408-小节得分-2024'!B48*$B$68+'408-小节得分-2025'!B48*$B$69)/SUM($B$61:$B$69)</f>
        <v>8.3074999999999992</v>
      </c>
      <c r="C53" s="33">
        <f>COUNTA(F52:AD52)</f>
        <v>25</v>
      </c>
      <c r="D53" s="34">
        <f>B53/C53</f>
        <v>0.33229999999999998</v>
      </c>
      <c r="E53" s="29" t="s">
        <v>25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  <c r="U53" s="35">
        <v>0</v>
      </c>
      <c r="V53" s="35">
        <v>0</v>
      </c>
      <c r="W53" s="35">
        <v>0</v>
      </c>
      <c r="X53" s="35">
        <v>0</v>
      </c>
      <c r="Y53" s="35">
        <v>0</v>
      </c>
      <c r="Z53" s="35">
        <v>0</v>
      </c>
      <c r="AA53" s="35">
        <v>0</v>
      </c>
      <c r="AB53" s="35">
        <v>0</v>
      </c>
      <c r="AC53" s="35">
        <v>0</v>
      </c>
      <c r="AD53" s="35">
        <v>0</v>
      </c>
    </row>
    <row r="54" spans="1:30" ht="36" customHeight="1">
      <c r="A54" s="58" t="s">
        <v>623</v>
      </c>
      <c r="B54" s="30" t="s">
        <v>4</v>
      </c>
      <c r="C54" s="30" t="s">
        <v>5</v>
      </c>
      <c r="D54" s="30" t="s">
        <v>6</v>
      </c>
      <c r="E54" s="29" t="s">
        <v>7</v>
      </c>
      <c r="F54" s="31" t="s">
        <v>624</v>
      </c>
      <c r="G54" s="31" t="s">
        <v>625</v>
      </c>
      <c r="H54" s="31" t="s">
        <v>626</v>
      </c>
      <c r="I54" s="31" t="s">
        <v>627</v>
      </c>
      <c r="J54" s="31" t="s">
        <v>628</v>
      </c>
      <c r="K54" s="31" t="s">
        <v>629</v>
      </c>
      <c r="L54" s="31" t="s">
        <v>630</v>
      </c>
      <c r="M54" s="31" t="s">
        <v>631</v>
      </c>
      <c r="N54" s="31" t="s">
        <v>632</v>
      </c>
      <c r="O54" s="31" t="s">
        <v>633</v>
      </c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</row>
    <row r="55" spans="1:30" ht="28" customHeight="1">
      <c r="A55" s="58"/>
      <c r="B55" s="32">
        <f>('408-小节得分-2017'!B50*$B$61+'408-小节得分-2018'!B50*$B$62+'408-小节得分-2019'!B50*$B$63+'408-小节得分-2020'!B50*$B$64+'408-小节得分-2021'!B50*$B$65+'408-小节得分-2022'!B50*$B$66+'408-小节得分-2023'!B50*$B$67+'408-小节得分-2024'!B50*$B$68+'408-小节得分-2025'!B50*$B$69)/SUM($B$61:$B$69)</f>
        <v>4.46</v>
      </c>
      <c r="C55" s="33">
        <f>COUNTA(F54:O54)</f>
        <v>10</v>
      </c>
      <c r="D55" s="34">
        <f>B55/C55</f>
        <v>0.44600000000000001</v>
      </c>
      <c r="E55" s="29" t="s">
        <v>25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</row>
    <row r="56" spans="1:30" ht="36" customHeight="1">
      <c r="A56" s="58" t="s">
        <v>634</v>
      </c>
      <c r="B56" s="30" t="s">
        <v>4</v>
      </c>
      <c r="C56" s="30" t="s">
        <v>5</v>
      </c>
      <c r="D56" s="30" t="s">
        <v>6</v>
      </c>
      <c r="E56" s="29" t="s">
        <v>7</v>
      </c>
      <c r="F56" s="31" t="s">
        <v>635</v>
      </c>
      <c r="G56" s="31" t="s">
        <v>636</v>
      </c>
      <c r="H56" s="31" t="s">
        <v>637</v>
      </c>
      <c r="I56" s="31" t="s">
        <v>638</v>
      </c>
      <c r="J56" s="31" t="s">
        <v>639</v>
      </c>
      <c r="K56" s="31" t="s">
        <v>640</v>
      </c>
      <c r="L56" s="31" t="s">
        <v>641</v>
      </c>
      <c r="M56" s="31" t="s">
        <v>642</v>
      </c>
      <c r="N56" s="31" t="s">
        <v>643</v>
      </c>
      <c r="O56" s="31" t="s">
        <v>644</v>
      </c>
      <c r="P56" s="31" t="s">
        <v>645</v>
      </c>
      <c r="Q56" s="31" t="s">
        <v>646</v>
      </c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</row>
    <row r="57" spans="1:30" ht="28" customHeight="1">
      <c r="A57" s="58"/>
      <c r="B57" s="32">
        <f>('408-小节得分-2017'!B52*$B$61+'408-小节得分-2018'!B52*$B$62+'408-小节得分-2019'!B52*$B$63+'408-小节得分-2020'!B52*$B$64+'408-小节得分-2021'!B52*$B$65+'408-小节得分-2022'!B52*$B$66+'408-小节得分-2023'!B52*$B$67+'408-小节得分-2024'!B52*$B$68+'408-小节得分-2025'!B52*$B$69)/SUM($B$61:$B$69)</f>
        <v>2.02</v>
      </c>
      <c r="C57" s="33">
        <f>COUNTA(F56:Q56)</f>
        <v>12</v>
      </c>
      <c r="D57" s="34">
        <f>B57/C57</f>
        <v>0.16833333333333333</v>
      </c>
      <c r="E57" s="29" t="s">
        <v>25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</row>
    <row r="60" spans="1:30" ht="28" customHeight="1">
      <c r="A60" s="36" t="s">
        <v>647</v>
      </c>
      <c r="B60" s="36" t="s">
        <v>648</v>
      </c>
      <c r="D60" s="59" t="s">
        <v>649</v>
      </c>
      <c r="E60" s="59"/>
      <c r="F60" s="59"/>
      <c r="G60" s="59"/>
    </row>
    <row r="61" spans="1:30" ht="28" customHeight="1">
      <c r="A61" s="37">
        <v>2017</v>
      </c>
      <c r="B61" s="38">
        <v>0.09</v>
      </c>
      <c r="D61" s="59"/>
      <c r="E61" s="59"/>
      <c r="F61" s="59"/>
      <c r="G61" s="59"/>
    </row>
    <row r="62" spans="1:30" ht="28" customHeight="1">
      <c r="A62" s="37">
        <v>2018</v>
      </c>
      <c r="B62" s="38">
        <v>9.5000000000000001E-2</v>
      </c>
      <c r="D62" s="59"/>
      <c r="E62" s="59"/>
      <c r="F62" s="59"/>
      <c r="G62" s="59"/>
    </row>
    <row r="63" spans="1:30" ht="28" customHeight="1">
      <c r="A63" s="37">
        <v>2019</v>
      </c>
      <c r="B63" s="38">
        <v>0.1</v>
      </c>
      <c r="D63" s="59"/>
      <c r="E63" s="59"/>
      <c r="F63" s="59"/>
      <c r="G63" s="59"/>
    </row>
    <row r="64" spans="1:30" ht="28" customHeight="1">
      <c r="A64" s="37">
        <v>2020</v>
      </c>
      <c r="B64" s="38">
        <v>0.105</v>
      </c>
      <c r="D64" s="59"/>
      <c r="E64" s="59"/>
      <c r="F64" s="59"/>
      <c r="G64" s="59"/>
    </row>
    <row r="65" spans="1:2" ht="28" customHeight="1">
      <c r="A65" s="37">
        <v>2021</v>
      </c>
      <c r="B65" s="38">
        <v>0.11</v>
      </c>
    </row>
    <row r="66" spans="1:2" ht="28" customHeight="1">
      <c r="A66" s="37">
        <v>2022</v>
      </c>
      <c r="B66" s="38">
        <v>0.115</v>
      </c>
    </row>
    <row r="67" spans="1:2" ht="28" customHeight="1">
      <c r="A67" s="37">
        <v>2023</v>
      </c>
      <c r="B67" s="38">
        <v>0.12</v>
      </c>
    </row>
    <row r="68" spans="1:2" ht="28" customHeight="1">
      <c r="A68" s="37">
        <v>2024</v>
      </c>
      <c r="B68" s="38">
        <v>0.13</v>
      </c>
    </row>
    <row r="69" spans="1:2" ht="28" customHeight="1">
      <c r="A69" s="37">
        <v>2025</v>
      </c>
      <c r="B69" s="38">
        <v>0.13500000000000001</v>
      </c>
    </row>
    <row r="70" spans="1:2" ht="28" customHeight="1">
      <c r="A70" s="39" t="s">
        <v>650</v>
      </c>
      <c r="B70" s="38">
        <f>SUM(B61:B69)</f>
        <v>1</v>
      </c>
    </row>
  </sheetData>
  <mergeCells count="34">
    <mergeCell ref="A52:A53"/>
    <mergeCell ref="A54:A55"/>
    <mergeCell ref="A56:A57"/>
    <mergeCell ref="D60:G64"/>
    <mergeCell ref="A42:A43"/>
    <mergeCell ref="A44:E44"/>
    <mergeCell ref="B45:E45"/>
    <mergeCell ref="A46:A47"/>
    <mergeCell ref="A48:A49"/>
    <mergeCell ref="A50:A51"/>
    <mergeCell ref="A40:A41"/>
    <mergeCell ref="A20:A21"/>
    <mergeCell ref="A22:A23"/>
    <mergeCell ref="A24:A25"/>
    <mergeCell ref="A26:A27"/>
    <mergeCell ref="A28:A29"/>
    <mergeCell ref="A30:A31"/>
    <mergeCell ref="A32:E32"/>
    <mergeCell ref="B33:E33"/>
    <mergeCell ref="A34:A35"/>
    <mergeCell ref="A36:A37"/>
    <mergeCell ref="A38:A39"/>
    <mergeCell ref="B19:E19"/>
    <mergeCell ref="B1:E1"/>
    <mergeCell ref="A2:E2"/>
    <mergeCell ref="B3:E3"/>
    <mergeCell ref="A4:A5"/>
    <mergeCell ref="A6:A7"/>
    <mergeCell ref="A8:A9"/>
    <mergeCell ref="A10:A11"/>
    <mergeCell ref="A12:A13"/>
    <mergeCell ref="A14:A15"/>
    <mergeCell ref="A16:A17"/>
    <mergeCell ref="A18:E18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DC432-5DF4-4C9F-B61D-D5C649FAFE49}">
  <dimension ref="A1:D199"/>
  <sheetViews>
    <sheetView workbookViewId="0">
      <selection sqref="A1:B1"/>
    </sheetView>
  </sheetViews>
  <sheetFormatPr defaultColWidth="12.9140625" defaultRowHeight="13"/>
  <cols>
    <col min="1" max="1" width="22.6640625" style="3" customWidth="1"/>
    <col min="2" max="4" width="12.58203125" style="10" customWidth="1"/>
    <col min="5" max="26" width="12.58203125" style="3" customWidth="1"/>
    <col min="27" max="16384" width="12.9140625" style="3"/>
  </cols>
  <sheetData>
    <row r="1" spans="1:2" ht="30" customHeight="1">
      <c r="A1" s="48" t="s">
        <v>1</v>
      </c>
      <c r="B1" s="49"/>
    </row>
    <row r="2" spans="1:2" ht="22.5" customHeight="1">
      <c r="A2" s="51" t="s">
        <v>3</v>
      </c>
      <c r="B2" s="9" t="s">
        <v>256</v>
      </c>
    </row>
    <row r="3" spans="1:2" ht="22.5" customHeight="1">
      <c r="A3" s="52"/>
      <c r="B3" s="46">
        <v>7.5</v>
      </c>
    </row>
    <row r="4" spans="1:2" ht="22.5" customHeight="1">
      <c r="A4" s="51" t="s">
        <v>26</v>
      </c>
      <c r="B4" s="9" t="s">
        <v>256</v>
      </c>
    </row>
    <row r="5" spans="1:2" ht="22.5" customHeight="1">
      <c r="A5" s="52"/>
      <c r="B5" s="46">
        <v>17</v>
      </c>
    </row>
    <row r="6" spans="1:2" ht="22.5" customHeight="1">
      <c r="A6" s="51" t="s">
        <v>46</v>
      </c>
      <c r="B6" s="9" t="s">
        <v>256</v>
      </c>
    </row>
    <row r="7" spans="1:2" ht="22.5" customHeight="1">
      <c r="A7" s="52"/>
      <c r="B7" s="46">
        <v>12.5</v>
      </c>
    </row>
    <row r="8" spans="1:2" ht="22.5" customHeight="1">
      <c r="A8" s="51" t="s">
        <v>58</v>
      </c>
      <c r="B8" s="9" t="s">
        <v>256</v>
      </c>
    </row>
    <row r="9" spans="1:2" ht="22.5" customHeight="1">
      <c r="A9" s="52"/>
      <c r="B9" s="46">
        <v>7</v>
      </c>
    </row>
    <row r="10" spans="1:2" ht="22.5" customHeight="1">
      <c r="A10" s="51" t="s">
        <v>79</v>
      </c>
      <c r="B10" s="9" t="s">
        <v>256</v>
      </c>
    </row>
    <row r="11" spans="1:2" ht="22.5" customHeight="1">
      <c r="A11" s="52"/>
      <c r="B11" s="46">
        <v>11</v>
      </c>
    </row>
    <row r="12" spans="1:2" ht="22.5" customHeight="1">
      <c r="A12" s="51" t="s">
        <v>94</v>
      </c>
      <c r="B12" s="9" t="s">
        <v>256</v>
      </c>
    </row>
    <row r="13" spans="1:2" ht="22.5" customHeight="1">
      <c r="A13" s="52"/>
      <c r="B13" s="46">
        <v>17</v>
      </c>
    </row>
    <row r="14" spans="1:2" ht="22.5" customHeight="1">
      <c r="A14" s="51" t="s">
        <v>107</v>
      </c>
      <c r="B14" s="9" t="s">
        <v>256</v>
      </c>
    </row>
    <row r="15" spans="1:2" ht="22.5" customHeight="1">
      <c r="A15" s="52"/>
      <c r="B15" s="46">
        <v>10</v>
      </c>
    </row>
    <row r="16" spans="1:2" ht="22.5" customHeight="1">
      <c r="A16" s="51" t="s">
        <v>125</v>
      </c>
      <c r="B16" s="9" t="s">
        <v>256</v>
      </c>
    </row>
    <row r="17" spans="1:2" ht="22.5" customHeight="1">
      <c r="A17" s="52"/>
      <c r="B17" s="46">
        <v>6</v>
      </c>
    </row>
    <row r="18" spans="1:2" ht="27" customHeight="1">
      <c r="A18" s="48" t="s">
        <v>140</v>
      </c>
      <c r="B18" s="49"/>
    </row>
    <row r="19" spans="1:2" ht="22.5" customHeight="1">
      <c r="A19" s="51" t="s">
        <v>141</v>
      </c>
      <c r="B19" s="9" t="s">
        <v>256</v>
      </c>
    </row>
    <row r="20" spans="1:2" ht="22.5" customHeight="1">
      <c r="A20" s="52"/>
      <c r="B20" s="46">
        <v>0</v>
      </c>
    </row>
    <row r="21" spans="1:2" ht="22.5" customHeight="1">
      <c r="A21" s="51" t="s">
        <v>144</v>
      </c>
      <c r="B21" s="9" t="s">
        <v>256</v>
      </c>
    </row>
    <row r="22" spans="1:2" ht="22.5" customHeight="1">
      <c r="A22" s="52"/>
      <c r="B22" s="46">
        <v>7.5</v>
      </c>
    </row>
    <row r="23" spans="1:2" ht="22.5" customHeight="1">
      <c r="A23" s="51" t="s">
        <v>159</v>
      </c>
      <c r="B23" s="9" t="s">
        <v>256</v>
      </c>
    </row>
    <row r="24" spans="1:2" ht="22.5" customHeight="1">
      <c r="A24" s="52"/>
      <c r="B24" s="46">
        <v>2.5</v>
      </c>
    </row>
    <row r="25" spans="1:2" ht="22.5" customHeight="1">
      <c r="A25" s="51" t="s">
        <v>173</v>
      </c>
      <c r="B25" s="9" t="s">
        <v>256</v>
      </c>
    </row>
    <row r="26" spans="1:2" ht="22.5" customHeight="1">
      <c r="A26" s="52"/>
      <c r="B26" s="46">
        <v>8.5</v>
      </c>
    </row>
    <row r="27" spans="1:2" ht="22.5" customHeight="1">
      <c r="A27" s="51" t="s">
        <v>181</v>
      </c>
      <c r="B27" s="9" t="s">
        <v>256</v>
      </c>
    </row>
    <row r="28" spans="1:2" ht="22.5" customHeight="1">
      <c r="A28" s="52"/>
      <c r="B28" s="46">
        <v>7.5</v>
      </c>
    </row>
    <row r="29" spans="1:2" ht="22.5" customHeight="1">
      <c r="A29" s="51" t="s">
        <v>186</v>
      </c>
      <c r="B29" s="9" t="s">
        <v>256</v>
      </c>
    </row>
    <row r="30" spans="1:2" ht="22.5" customHeight="1">
      <c r="A30" s="52"/>
      <c r="B30" s="46">
        <v>5</v>
      </c>
    </row>
    <row r="31" spans="1:2" ht="28.5" customHeight="1">
      <c r="A31" s="48" t="s">
        <v>194</v>
      </c>
      <c r="B31" s="49"/>
    </row>
    <row r="32" spans="1:2" ht="22.5" customHeight="1">
      <c r="A32" s="51" t="s">
        <v>195</v>
      </c>
      <c r="B32" s="9" t="s">
        <v>256</v>
      </c>
    </row>
    <row r="33" spans="1:2" ht="22.5" customHeight="1">
      <c r="A33" s="52"/>
      <c r="B33" s="46">
        <v>8</v>
      </c>
    </row>
    <row r="34" spans="1:2" ht="22.5" customHeight="1">
      <c r="A34" s="51" t="s">
        <v>207</v>
      </c>
      <c r="B34" s="9" t="s">
        <v>256</v>
      </c>
    </row>
    <row r="35" spans="1:2" ht="22.5" customHeight="1">
      <c r="A35" s="52"/>
      <c r="B35" s="46">
        <v>7.5</v>
      </c>
    </row>
    <row r="36" spans="1:2" ht="22.5" customHeight="1">
      <c r="A36" s="51" t="s">
        <v>214</v>
      </c>
      <c r="B36" s="9" t="s">
        <v>256</v>
      </c>
    </row>
    <row r="37" spans="1:2" ht="22.5" customHeight="1">
      <c r="A37" s="52"/>
      <c r="B37" s="46">
        <v>3</v>
      </c>
    </row>
    <row r="38" spans="1:2" ht="22.5" customHeight="1">
      <c r="A38" s="51" t="s">
        <v>220</v>
      </c>
      <c r="B38" s="9" t="s">
        <v>256</v>
      </c>
    </row>
    <row r="39" spans="1:2" ht="22.5" customHeight="1">
      <c r="A39" s="52"/>
      <c r="B39" s="46">
        <v>7.5</v>
      </c>
    </row>
    <row r="40" spans="1:2" ht="22.5" customHeight="1">
      <c r="A40" s="51" t="s">
        <v>224</v>
      </c>
      <c r="B40" s="9" t="s">
        <v>256</v>
      </c>
    </row>
    <row r="41" spans="1:2" ht="22.5" customHeight="1">
      <c r="A41" s="52"/>
      <c r="B41" s="46">
        <v>0</v>
      </c>
    </row>
    <row r="42" spans="1:2" ht="22.5" customHeight="1">
      <c r="A42" s="51" t="s">
        <v>231</v>
      </c>
      <c r="B42" s="9" t="s">
        <v>256</v>
      </c>
    </row>
    <row r="43" spans="1:2" ht="22.5" customHeight="1">
      <c r="A43" s="52"/>
      <c r="B43" s="13">
        <v>2.5</v>
      </c>
    </row>
    <row r="44" spans="1:2" ht="22.5" customHeight="1">
      <c r="A44" s="51" t="s">
        <v>243</v>
      </c>
      <c r="B44" s="9" t="s">
        <v>256</v>
      </c>
    </row>
    <row r="45" spans="1:2" ht="22.5" customHeight="1">
      <c r="A45" s="52"/>
      <c r="B45" s="46">
        <v>0</v>
      </c>
    </row>
    <row r="46" spans="1:2" ht="22.5" customHeight="1">
      <c r="A46" s="51" t="s">
        <v>252</v>
      </c>
      <c r="B46" s="9" t="s">
        <v>256</v>
      </c>
    </row>
    <row r="47" spans="1:2" ht="22.5" customHeight="1">
      <c r="A47" s="52"/>
      <c r="B47" s="46">
        <v>2.5</v>
      </c>
    </row>
    <row r="48" spans="1:2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</sheetData>
  <mergeCells count="25">
    <mergeCell ref="A46:A47"/>
    <mergeCell ref="A34:A35"/>
    <mergeCell ref="A36:A37"/>
    <mergeCell ref="A38:A39"/>
    <mergeCell ref="A40:A41"/>
    <mergeCell ref="A42:A43"/>
    <mergeCell ref="A44:A45"/>
    <mergeCell ref="A32:A33"/>
    <mergeCell ref="A12:A13"/>
    <mergeCell ref="A14:A15"/>
    <mergeCell ref="A16:A17"/>
    <mergeCell ref="A18:B18"/>
    <mergeCell ref="A19:A20"/>
    <mergeCell ref="A21:A22"/>
    <mergeCell ref="A23:A24"/>
    <mergeCell ref="A25:A26"/>
    <mergeCell ref="A27:A28"/>
    <mergeCell ref="A29:A30"/>
    <mergeCell ref="A31:B31"/>
    <mergeCell ref="A10:A11"/>
    <mergeCell ref="A1:B1"/>
    <mergeCell ref="A2:A3"/>
    <mergeCell ref="A4:A5"/>
    <mergeCell ref="A6:A7"/>
    <mergeCell ref="A8:A9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4ABB-C658-44CB-9686-108C981B26DD}">
  <dimension ref="A1:B199"/>
  <sheetViews>
    <sheetView workbookViewId="0">
      <selection sqref="A1:B1"/>
    </sheetView>
  </sheetViews>
  <sheetFormatPr defaultColWidth="12.9140625" defaultRowHeight="13"/>
  <cols>
    <col min="1" max="1" width="22.6640625" style="3" customWidth="1"/>
    <col min="2" max="26" width="12.58203125" style="3" customWidth="1"/>
    <col min="27" max="16384" width="12.9140625" style="3"/>
  </cols>
  <sheetData>
    <row r="1" spans="1:2" ht="30" customHeight="1">
      <c r="A1" s="48" t="s">
        <v>1</v>
      </c>
      <c r="B1" s="49"/>
    </row>
    <row r="2" spans="1:2" ht="22.5" customHeight="1">
      <c r="A2" s="51" t="s">
        <v>3</v>
      </c>
      <c r="B2" s="9" t="s">
        <v>256</v>
      </c>
    </row>
    <row r="3" spans="1:2" ht="22.5" customHeight="1">
      <c r="A3" s="52"/>
      <c r="B3" s="46">
        <v>12.5</v>
      </c>
    </row>
    <row r="4" spans="1:2" ht="22.5" customHeight="1">
      <c r="A4" s="51" t="s">
        <v>26</v>
      </c>
      <c r="B4" s="9" t="s">
        <v>256</v>
      </c>
    </row>
    <row r="5" spans="1:2" ht="22.5" customHeight="1">
      <c r="A5" s="52"/>
      <c r="B5" s="46">
        <v>12.5</v>
      </c>
    </row>
    <row r="6" spans="1:2" ht="22.5" customHeight="1">
      <c r="A6" s="51" t="s">
        <v>46</v>
      </c>
      <c r="B6" s="9" t="s">
        <v>256</v>
      </c>
    </row>
    <row r="7" spans="1:2" ht="22.5" customHeight="1">
      <c r="A7" s="52"/>
      <c r="B7" s="46">
        <v>4.5</v>
      </c>
    </row>
    <row r="8" spans="1:2" ht="22.5" customHeight="1">
      <c r="A8" s="51" t="s">
        <v>58</v>
      </c>
      <c r="B8" s="9" t="s">
        <v>256</v>
      </c>
    </row>
    <row r="9" spans="1:2" ht="22.5" customHeight="1">
      <c r="A9" s="52"/>
      <c r="B9" s="46">
        <v>6</v>
      </c>
    </row>
    <row r="10" spans="1:2" ht="22.5" customHeight="1">
      <c r="A10" s="51" t="s">
        <v>79</v>
      </c>
      <c r="B10" s="9" t="s">
        <v>256</v>
      </c>
    </row>
    <row r="11" spans="1:2" ht="22.5" customHeight="1">
      <c r="A11" s="52"/>
      <c r="B11" s="46">
        <v>17</v>
      </c>
    </row>
    <row r="12" spans="1:2" ht="22.5" customHeight="1">
      <c r="A12" s="51" t="s">
        <v>94</v>
      </c>
      <c r="B12" s="9" t="s">
        <v>256</v>
      </c>
    </row>
    <row r="13" spans="1:2" ht="22.5" customHeight="1">
      <c r="A13" s="52"/>
      <c r="B13" s="46">
        <v>23</v>
      </c>
    </row>
    <row r="14" spans="1:2" ht="22.5" customHeight="1">
      <c r="A14" s="51" t="s">
        <v>107</v>
      </c>
      <c r="B14" s="9" t="s">
        <v>256</v>
      </c>
    </row>
    <row r="15" spans="1:2" ht="22.5" customHeight="1">
      <c r="A15" s="52"/>
      <c r="B15" s="46">
        <v>7.5</v>
      </c>
    </row>
    <row r="16" spans="1:2" ht="22.5" customHeight="1">
      <c r="A16" s="51" t="s">
        <v>125</v>
      </c>
      <c r="B16" s="9" t="s">
        <v>256</v>
      </c>
    </row>
    <row r="17" spans="1:2" ht="22.5" customHeight="1">
      <c r="A17" s="52"/>
      <c r="B17" s="46">
        <v>5</v>
      </c>
    </row>
    <row r="18" spans="1:2" ht="27" customHeight="1">
      <c r="A18" s="48" t="s">
        <v>140</v>
      </c>
      <c r="B18" s="49"/>
    </row>
    <row r="19" spans="1:2" ht="22.5" customHeight="1">
      <c r="A19" s="51" t="s">
        <v>141</v>
      </c>
      <c r="B19" s="9" t="s">
        <v>256</v>
      </c>
    </row>
    <row r="20" spans="1:2" ht="22.5" customHeight="1">
      <c r="A20" s="52"/>
      <c r="B20" s="46">
        <v>0</v>
      </c>
    </row>
    <row r="21" spans="1:2" ht="22.5" customHeight="1">
      <c r="A21" s="51" t="s">
        <v>144</v>
      </c>
      <c r="B21" s="9" t="s">
        <v>256</v>
      </c>
    </row>
    <row r="22" spans="1:2" ht="22.5" customHeight="1">
      <c r="A22" s="52"/>
      <c r="B22" s="46">
        <v>8</v>
      </c>
    </row>
    <row r="23" spans="1:2" ht="22.5" customHeight="1">
      <c r="A23" s="51" t="s">
        <v>159</v>
      </c>
      <c r="B23" s="9" t="s">
        <v>256</v>
      </c>
    </row>
    <row r="24" spans="1:2" ht="22.5" customHeight="1">
      <c r="A24" s="52"/>
      <c r="B24" s="46">
        <v>5</v>
      </c>
    </row>
    <row r="25" spans="1:2" ht="22.5" customHeight="1">
      <c r="A25" s="51" t="s">
        <v>173</v>
      </c>
      <c r="B25" s="9" t="s">
        <v>256</v>
      </c>
    </row>
    <row r="26" spans="1:2" ht="22.5" customHeight="1">
      <c r="A26" s="52"/>
      <c r="B26" s="46">
        <v>2.5</v>
      </c>
    </row>
    <row r="27" spans="1:2" ht="22.5" customHeight="1">
      <c r="A27" s="51" t="s">
        <v>181</v>
      </c>
      <c r="B27" s="9" t="s">
        <v>256</v>
      </c>
    </row>
    <row r="28" spans="1:2" ht="22.5" customHeight="1">
      <c r="A28" s="52"/>
      <c r="B28" s="46">
        <v>10.5</v>
      </c>
    </row>
    <row r="29" spans="1:2" ht="22.5" customHeight="1">
      <c r="A29" s="51" t="s">
        <v>186</v>
      </c>
      <c r="B29" s="9" t="s">
        <v>256</v>
      </c>
    </row>
    <row r="30" spans="1:2" ht="22.5" customHeight="1">
      <c r="A30" s="52"/>
      <c r="B30" s="46">
        <v>5</v>
      </c>
    </row>
    <row r="31" spans="1:2" ht="28.5" customHeight="1">
      <c r="A31" s="48" t="s">
        <v>194</v>
      </c>
      <c r="B31" s="49"/>
    </row>
    <row r="32" spans="1:2" ht="22.5" customHeight="1">
      <c r="A32" s="51" t="s">
        <v>195</v>
      </c>
      <c r="B32" s="9" t="s">
        <v>256</v>
      </c>
    </row>
    <row r="33" spans="1:2" ht="22.5" customHeight="1">
      <c r="A33" s="52"/>
      <c r="B33" s="46">
        <v>5</v>
      </c>
    </row>
    <row r="34" spans="1:2" ht="22.5" customHeight="1">
      <c r="A34" s="51" t="s">
        <v>207</v>
      </c>
      <c r="B34" s="9" t="s">
        <v>256</v>
      </c>
    </row>
    <row r="35" spans="1:2" ht="22.5" customHeight="1">
      <c r="A35" s="52"/>
      <c r="B35" s="46">
        <v>2.5</v>
      </c>
    </row>
    <row r="36" spans="1:2" ht="22.5" customHeight="1">
      <c r="A36" s="51" t="s">
        <v>214</v>
      </c>
      <c r="B36" s="9" t="s">
        <v>256</v>
      </c>
    </row>
    <row r="37" spans="1:2" ht="22.5" customHeight="1">
      <c r="A37" s="52"/>
      <c r="B37" s="46">
        <v>10</v>
      </c>
    </row>
    <row r="38" spans="1:2" ht="22.5" customHeight="1">
      <c r="A38" s="51" t="s">
        <v>220</v>
      </c>
      <c r="B38" s="9" t="s">
        <v>256</v>
      </c>
    </row>
    <row r="39" spans="1:2" ht="22.5" customHeight="1">
      <c r="A39" s="52"/>
      <c r="B39" s="46">
        <v>5</v>
      </c>
    </row>
    <row r="40" spans="1:2" ht="22.5" customHeight="1">
      <c r="A40" s="51" t="s">
        <v>224</v>
      </c>
      <c r="B40" s="9" t="s">
        <v>256</v>
      </c>
    </row>
    <row r="41" spans="1:2" ht="22.5" customHeight="1">
      <c r="A41" s="52"/>
      <c r="B41" s="46">
        <v>0</v>
      </c>
    </row>
    <row r="42" spans="1:2" ht="22.5" customHeight="1">
      <c r="A42" s="51" t="s">
        <v>231</v>
      </c>
      <c r="B42" s="9" t="s">
        <v>256</v>
      </c>
    </row>
    <row r="43" spans="1:2" ht="22.5" customHeight="1">
      <c r="A43" s="52"/>
      <c r="B43" s="46">
        <v>3</v>
      </c>
    </row>
    <row r="44" spans="1:2" ht="22.5" customHeight="1">
      <c r="A44" s="51" t="s">
        <v>243</v>
      </c>
      <c r="B44" s="9" t="s">
        <v>256</v>
      </c>
    </row>
    <row r="45" spans="1:2" ht="22.5" customHeight="1">
      <c r="A45" s="52"/>
      <c r="B45" s="46">
        <v>5.5</v>
      </c>
    </row>
    <row r="46" spans="1:2" ht="22.5" customHeight="1">
      <c r="A46" s="51" t="s">
        <v>252</v>
      </c>
      <c r="B46" s="9" t="s">
        <v>256</v>
      </c>
    </row>
    <row r="47" spans="1:2" ht="22.5" customHeight="1">
      <c r="A47" s="52"/>
      <c r="B47" s="46">
        <v>0</v>
      </c>
    </row>
    <row r="48" spans="1:2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</sheetData>
  <mergeCells count="25">
    <mergeCell ref="A46:A47"/>
    <mergeCell ref="A34:A35"/>
    <mergeCell ref="A36:A37"/>
    <mergeCell ref="A38:A39"/>
    <mergeCell ref="A40:A41"/>
    <mergeCell ref="A42:A43"/>
    <mergeCell ref="A44:A45"/>
    <mergeCell ref="A32:A33"/>
    <mergeCell ref="A12:A13"/>
    <mergeCell ref="A14:A15"/>
    <mergeCell ref="A16:A17"/>
    <mergeCell ref="A18:B18"/>
    <mergeCell ref="A19:A20"/>
    <mergeCell ref="A21:A22"/>
    <mergeCell ref="A23:A24"/>
    <mergeCell ref="A25:A26"/>
    <mergeCell ref="A27:A28"/>
    <mergeCell ref="A29:A30"/>
    <mergeCell ref="A31:B31"/>
    <mergeCell ref="A10:A11"/>
    <mergeCell ref="A1:B1"/>
    <mergeCell ref="A2:A3"/>
    <mergeCell ref="A4:A5"/>
    <mergeCell ref="A6:A7"/>
    <mergeCell ref="A8:A9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658A-8356-4393-9387-303E3CA37287}">
  <dimension ref="A1:B199"/>
  <sheetViews>
    <sheetView workbookViewId="0">
      <selection sqref="A1:B1"/>
    </sheetView>
  </sheetViews>
  <sheetFormatPr defaultColWidth="12.9140625" defaultRowHeight="13"/>
  <cols>
    <col min="1" max="1" width="22.6640625" style="3" customWidth="1"/>
    <col min="2" max="26" width="12.58203125" style="3" customWidth="1"/>
    <col min="27" max="16384" width="12.9140625" style="3"/>
  </cols>
  <sheetData>
    <row r="1" spans="1:2" ht="30" customHeight="1">
      <c r="A1" s="48" t="s">
        <v>1</v>
      </c>
      <c r="B1" s="49"/>
    </row>
    <row r="2" spans="1:2" ht="22.5" customHeight="1">
      <c r="A2" s="51" t="s">
        <v>3</v>
      </c>
      <c r="B2" s="9" t="s">
        <v>256</v>
      </c>
    </row>
    <row r="3" spans="1:2" ht="22.5" customHeight="1">
      <c r="A3" s="52"/>
      <c r="B3" s="46">
        <v>7.5</v>
      </c>
    </row>
    <row r="4" spans="1:2" ht="22.5" customHeight="1">
      <c r="A4" s="51" t="s">
        <v>26</v>
      </c>
      <c r="B4" s="9" t="s">
        <v>256</v>
      </c>
    </row>
    <row r="5" spans="1:2" ht="22.5" customHeight="1">
      <c r="A5" s="52"/>
      <c r="B5" s="46">
        <v>25.5</v>
      </c>
    </row>
    <row r="6" spans="1:2" ht="22.5" customHeight="1">
      <c r="A6" s="51" t="s">
        <v>46</v>
      </c>
      <c r="B6" s="9" t="s">
        <v>256</v>
      </c>
    </row>
    <row r="7" spans="1:2" ht="22.5" customHeight="1">
      <c r="A7" s="52"/>
      <c r="B7" s="46">
        <v>8.5</v>
      </c>
    </row>
    <row r="8" spans="1:2" ht="22.5" customHeight="1">
      <c r="A8" s="51" t="s">
        <v>58</v>
      </c>
      <c r="B8" s="9" t="s">
        <v>256</v>
      </c>
    </row>
    <row r="9" spans="1:2" ht="22.5" customHeight="1">
      <c r="A9" s="52"/>
      <c r="B9" s="46">
        <v>0</v>
      </c>
    </row>
    <row r="10" spans="1:2" ht="22.5" customHeight="1">
      <c r="A10" s="51" t="s">
        <v>79</v>
      </c>
      <c r="B10" s="9" t="s">
        <v>256</v>
      </c>
    </row>
    <row r="11" spans="1:2" ht="22.5" customHeight="1">
      <c r="A11" s="52"/>
      <c r="B11" s="46">
        <v>17</v>
      </c>
    </row>
    <row r="12" spans="1:2" ht="22.5" customHeight="1">
      <c r="A12" s="51" t="s">
        <v>94</v>
      </c>
      <c r="B12" s="9" t="s">
        <v>256</v>
      </c>
    </row>
    <row r="13" spans="1:2" ht="22.5" customHeight="1">
      <c r="A13" s="52"/>
      <c r="B13" s="46">
        <v>12</v>
      </c>
    </row>
    <row r="14" spans="1:2" ht="22.5" customHeight="1">
      <c r="A14" s="51" t="s">
        <v>107</v>
      </c>
      <c r="B14" s="9" t="s">
        <v>256</v>
      </c>
    </row>
    <row r="15" spans="1:2" ht="22.5" customHeight="1">
      <c r="A15" s="52"/>
      <c r="B15" s="46">
        <v>10</v>
      </c>
    </row>
    <row r="16" spans="1:2" ht="22.5" customHeight="1">
      <c r="A16" s="51" t="s">
        <v>125</v>
      </c>
      <c r="B16" s="9" t="s">
        <v>256</v>
      </c>
    </row>
    <row r="17" spans="1:2" ht="22.5" customHeight="1">
      <c r="A17" s="52"/>
      <c r="B17" s="46">
        <v>7.5</v>
      </c>
    </row>
    <row r="18" spans="1:2" ht="27" customHeight="1">
      <c r="A18" s="48" t="s">
        <v>140</v>
      </c>
      <c r="B18" s="49"/>
    </row>
    <row r="19" spans="1:2" ht="22.5" customHeight="1">
      <c r="A19" s="51" t="s">
        <v>141</v>
      </c>
      <c r="B19" s="9" t="s">
        <v>256</v>
      </c>
    </row>
    <row r="20" spans="1:2" ht="22.5" customHeight="1">
      <c r="A20" s="52"/>
      <c r="B20" s="46">
        <v>0</v>
      </c>
    </row>
    <row r="21" spans="1:2" ht="22.5" customHeight="1">
      <c r="A21" s="51" t="s">
        <v>144</v>
      </c>
      <c r="B21" s="9" t="s">
        <v>256</v>
      </c>
    </row>
    <row r="22" spans="1:2" ht="22.5" customHeight="1">
      <c r="A22" s="52"/>
      <c r="B22" s="46">
        <v>5</v>
      </c>
    </row>
    <row r="23" spans="1:2" ht="22.5" customHeight="1">
      <c r="A23" s="51" t="s">
        <v>159</v>
      </c>
      <c r="B23" s="9" t="s">
        <v>256</v>
      </c>
    </row>
    <row r="24" spans="1:2" ht="22.5" customHeight="1">
      <c r="A24" s="52"/>
      <c r="B24" s="46">
        <v>7.5</v>
      </c>
    </row>
    <row r="25" spans="1:2" ht="22.5" customHeight="1">
      <c r="A25" s="51" t="s">
        <v>173</v>
      </c>
      <c r="B25" s="9" t="s">
        <v>256</v>
      </c>
    </row>
    <row r="26" spans="1:2" ht="22.5" customHeight="1">
      <c r="A26" s="52"/>
      <c r="B26" s="46">
        <v>2.5</v>
      </c>
    </row>
    <row r="27" spans="1:2" ht="22.5" customHeight="1">
      <c r="A27" s="51" t="s">
        <v>181</v>
      </c>
      <c r="B27" s="9" t="s">
        <v>256</v>
      </c>
    </row>
    <row r="28" spans="1:2" ht="22.5" customHeight="1">
      <c r="A28" s="52"/>
      <c r="B28" s="46">
        <v>7</v>
      </c>
    </row>
    <row r="29" spans="1:2" ht="22.5" customHeight="1">
      <c r="A29" s="51" t="s">
        <v>186</v>
      </c>
      <c r="B29" s="9" t="s">
        <v>256</v>
      </c>
    </row>
    <row r="30" spans="1:2" ht="22.5" customHeight="1">
      <c r="A30" s="52"/>
      <c r="B30" s="46">
        <v>9</v>
      </c>
    </row>
    <row r="31" spans="1:2" ht="28.5" customHeight="1">
      <c r="A31" s="48" t="s">
        <v>194</v>
      </c>
      <c r="B31" s="49"/>
    </row>
    <row r="32" spans="1:2" ht="22.5" customHeight="1">
      <c r="A32" s="51" t="s">
        <v>195</v>
      </c>
      <c r="B32" s="9" t="s">
        <v>256</v>
      </c>
    </row>
    <row r="33" spans="1:2" ht="22.5" customHeight="1">
      <c r="A33" s="52"/>
      <c r="B33" s="46">
        <v>0</v>
      </c>
    </row>
    <row r="34" spans="1:2" ht="22.5" customHeight="1">
      <c r="A34" s="51" t="s">
        <v>207</v>
      </c>
      <c r="B34" s="9" t="s">
        <v>256</v>
      </c>
    </row>
    <row r="35" spans="1:2" ht="22.5" customHeight="1">
      <c r="A35" s="52"/>
      <c r="B35" s="46">
        <v>2.5</v>
      </c>
    </row>
    <row r="36" spans="1:2" ht="22.5" customHeight="1">
      <c r="A36" s="51" t="s">
        <v>214</v>
      </c>
      <c r="B36" s="9" t="s">
        <v>256</v>
      </c>
    </row>
    <row r="37" spans="1:2" ht="22.5" customHeight="1">
      <c r="A37" s="52"/>
      <c r="B37" s="46">
        <v>11.5</v>
      </c>
    </row>
    <row r="38" spans="1:2" ht="22.5" customHeight="1">
      <c r="A38" s="51" t="s">
        <v>220</v>
      </c>
      <c r="B38" s="9" t="s">
        <v>256</v>
      </c>
    </row>
    <row r="39" spans="1:2" ht="22.5" customHeight="1">
      <c r="A39" s="52"/>
      <c r="B39" s="46">
        <v>9.5</v>
      </c>
    </row>
    <row r="40" spans="1:2" ht="22.5" customHeight="1">
      <c r="A40" s="51" t="s">
        <v>224</v>
      </c>
      <c r="B40" s="9" t="s">
        <v>256</v>
      </c>
    </row>
    <row r="41" spans="1:2" ht="22.5" customHeight="1">
      <c r="A41" s="52"/>
      <c r="B41" s="46">
        <v>0</v>
      </c>
    </row>
    <row r="42" spans="1:2" ht="22.5" customHeight="1">
      <c r="A42" s="51" t="s">
        <v>231</v>
      </c>
      <c r="B42" s="9" t="s">
        <v>256</v>
      </c>
    </row>
    <row r="43" spans="1:2" ht="22.5" customHeight="1">
      <c r="A43" s="52"/>
      <c r="B43" s="46">
        <v>5</v>
      </c>
    </row>
    <row r="44" spans="1:2" ht="22.5" customHeight="1">
      <c r="A44" s="51" t="s">
        <v>243</v>
      </c>
      <c r="B44" s="9" t="s">
        <v>256</v>
      </c>
    </row>
    <row r="45" spans="1:2" ht="22.5" customHeight="1">
      <c r="A45" s="52"/>
      <c r="B45" s="46">
        <v>2.5</v>
      </c>
    </row>
    <row r="46" spans="1:2" ht="22.5" customHeight="1">
      <c r="A46" s="51" t="s">
        <v>252</v>
      </c>
      <c r="B46" s="9" t="s">
        <v>256</v>
      </c>
    </row>
    <row r="47" spans="1:2" ht="22.5" customHeight="1">
      <c r="A47" s="52"/>
      <c r="B47" s="46">
        <v>0</v>
      </c>
    </row>
    <row r="48" spans="1:2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</sheetData>
  <mergeCells count="25">
    <mergeCell ref="A46:A47"/>
    <mergeCell ref="A34:A35"/>
    <mergeCell ref="A36:A37"/>
    <mergeCell ref="A38:A39"/>
    <mergeCell ref="A40:A41"/>
    <mergeCell ref="A42:A43"/>
    <mergeCell ref="A44:A45"/>
    <mergeCell ref="A32:A33"/>
    <mergeCell ref="A12:A13"/>
    <mergeCell ref="A14:A15"/>
    <mergeCell ref="A16:A17"/>
    <mergeCell ref="A18:B18"/>
    <mergeCell ref="A19:A20"/>
    <mergeCell ref="A21:A22"/>
    <mergeCell ref="A23:A24"/>
    <mergeCell ref="A25:A26"/>
    <mergeCell ref="A27:A28"/>
    <mergeCell ref="A29:A30"/>
    <mergeCell ref="A31:B31"/>
    <mergeCell ref="A10:A11"/>
    <mergeCell ref="A1:B1"/>
    <mergeCell ref="A2:A3"/>
    <mergeCell ref="A4:A5"/>
    <mergeCell ref="A6:A7"/>
    <mergeCell ref="A8:A9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87FC8-AB18-4469-8CEB-C6DD27393053}">
  <dimension ref="A1:B199"/>
  <sheetViews>
    <sheetView workbookViewId="0">
      <selection sqref="A1:B1"/>
    </sheetView>
  </sheetViews>
  <sheetFormatPr defaultColWidth="12.9140625" defaultRowHeight="13"/>
  <cols>
    <col min="1" max="1" width="22.6640625" style="3" customWidth="1"/>
    <col min="2" max="26" width="12.58203125" style="3" customWidth="1"/>
    <col min="27" max="16384" width="12.9140625" style="3"/>
  </cols>
  <sheetData>
    <row r="1" spans="1:2" ht="30" customHeight="1">
      <c r="A1" s="48" t="s">
        <v>1</v>
      </c>
      <c r="B1" s="49"/>
    </row>
    <row r="2" spans="1:2" ht="22.5" customHeight="1">
      <c r="A2" s="51" t="s">
        <v>3</v>
      </c>
      <c r="B2" s="9" t="s">
        <v>256</v>
      </c>
    </row>
    <row r="3" spans="1:2" ht="22.5" customHeight="1">
      <c r="A3" s="52"/>
      <c r="B3" s="46">
        <v>10</v>
      </c>
    </row>
    <row r="4" spans="1:2" ht="22.5" customHeight="1">
      <c r="A4" s="51" t="s">
        <v>26</v>
      </c>
      <c r="B4" s="9" t="s">
        <v>256</v>
      </c>
    </row>
    <row r="5" spans="1:2" ht="22.5" customHeight="1">
      <c r="A5" s="52"/>
      <c r="B5" s="46">
        <v>12</v>
      </c>
    </row>
    <row r="6" spans="1:2" ht="22.5" customHeight="1">
      <c r="A6" s="51" t="s">
        <v>46</v>
      </c>
      <c r="B6" s="9" t="s">
        <v>256</v>
      </c>
    </row>
    <row r="7" spans="1:2" ht="22.5" customHeight="1">
      <c r="A7" s="52"/>
      <c r="B7" s="46">
        <v>16</v>
      </c>
    </row>
    <row r="8" spans="1:2" ht="22.5" customHeight="1">
      <c r="A8" s="51" t="s">
        <v>58</v>
      </c>
      <c r="B8" s="9" t="s">
        <v>256</v>
      </c>
    </row>
    <row r="9" spans="1:2" ht="22.5" customHeight="1">
      <c r="A9" s="52"/>
      <c r="B9" s="46">
        <v>0</v>
      </c>
    </row>
    <row r="10" spans="1:2" ht="22.5" customHeight="1">
      <c r="A10" s="51" t="s">
        <v>79</v>
      </c>
      <c r="B10" s="9" t="s">
        <v>256</v>
      </c>
    </row>
    <row r="11" spans="1:2" ht="22.5" customHeight="1">
      <c r="A11" s="52"/>
      <c r="B11" s="46">
        <v>15</v>
      </c>
    </row>
    <row r="12" spans="1:2" ht="22.5" customHeight="1">
      <c r="A12" s="51" t="s">
        <v>94</v>
      </c>
      <c r="B12" s="9" t="s">
        <v>256</v>
      </c>
    </row>
    <row r="13" spans="1:2" ht="22.5" customHeight="1">
      <c r="A13" s="52"/>
      <c r="B13" s="46">
        <v>24</v>
      </c>
    </row>
    <row r="14" spans="1:2" ht="22.5" customHeight="1">
      <c r="A14" s="51" t="s">
        <v>107</v>
      </c>
      <c r="B14" s="9" t="s">
        <v>256</v>
      </c>
    </row>
    <row r="15" spans="1:2" ht="22.5" customHeight="1">
      <c r="A15" s="52"/>
      <c r="B15" s="46">
        <v>5</v>
      </c>
    </row>
    <row r="16" spans="1:2" ht="22.5" customHeight="1">
      <c r="A16" s="51" t="s">
        <v>125</v>
      </c>
      <c r="B16" s="9" t="s">
        <v>256</v>
      </c>
    </row>
    <row r="17" spans="1:2" ht="22.5" customHeight="1">
      <c r="A17" s="52"/>
      <c r="B17" s="46">
        <v>6</v>
      </c>
    </row>
    <row r="18" spans="1:2" ht="27" customHeight="1">
      <c r="A18" s="48" t="s">
        <v>140</v>
      </c>
      <c r="B18" s="49"/>
    </row>
    <row r="19" spans="1:2" ht="22.5" customHeight="1">
      <c r="A19" s="51" t="s">
        <v>141</v>
      </c>
      <c r="B19" s="9" t="s">
        <v>256</v>
      </c>
    </row>
    <row r="20" spans="1:2" ht="22.5" customHeight="1">
      <c r="A20" s="52"/>
      <c r="B20" s="46">
        <v>0</v>
      </c>
    </row>
    <row r="21" spans="1:2" ht="22.5" customHeight="1">
      <c r="A21" s="51" t="s">
        <v>144</v>
      </c>
      <c r="B21" s="9" t="s">
        <v>256</v>
      </c>
    </row>
    <row r="22" spans="1:2" ht="22.5" customHeight="1">
      <c r="A22" s="52"/>
      <c r="B22" s="46">
        <v>7.5</v>
      </c>
    </row>
    <row r="23" spans="1:2" ht="22.5" customHeight="1">
      <c r="A23" s="51" t="s">
        <v>159</v>
      </c>
      <c r="B23" s="9" t="s">
        <v>256</v>
      </c>
    </row>
    <row r="24" spans="1:2" ht="22.5" customHeight="1">
      <c r="A24" s="52"/>
      <c r="B24" s="46">
        <v>5</v>
      </c>
    </row>
    <row r="25" spans="1:2" ht="22.5" customHeight="1">
      <c r="A25" s="51" t="s">
        <v>173</v>
      </c>
      <c r="B25" s="9" t="s">
        <v>256</v>
      </c>
    </row>
    <row r="26" spans="1:2" ht="22.5" customHeight="1">
      <c r="A26" s="52"/>
      <c r="B26" s="46">
        <v>4</v>
      </c>
    </row>
    <row r="27" spans="1:2" ht="22.5" customHeight="1">
      <c r="A27" s="51" t="s">
        <v>181</v>
      </c>
      <c r="B27" s="9" t="s">
        <v>256</v>
      </c>
    </row>
    <row r="28" spans="1:2" ht="22.5" customHeight="1">
      <c r="A28" s="52"/>
      <c r="B28" s="46">
        <v>8</v>
      </c>
    </row>
    <row r="29" spans="1:2" ht="22.5" customHeight="1">
      <c r="A29" s="51" t="s">
        <v>186</v>
      </c>
      <c r="B29" s="9" t="s">
        <v>256</v>
      </c>
    </row>
    <row r="30" spans="1:2" ht="22.5" customHeight="1">
      <c r="A30" s="52"/>
      <c r="B30" s="46">
        <v>6.5</v>
      </c>
    </row>
    <row r="31" spans="1:2" ht="28.5" customHeight="1">
      <c r="A31" s="48" t="s">
        <v>194</v>
      </c>
      <c r="B31" s="49"/>
    </row>
    <row r="32" spans="1:2" ht="22.5" customHeight="1">
      <c r="A32" s="51" t="s">
        <v>195</v>
      </c>
      <c r="B32" s="9" t="s">
        <v>256</v>
      </c>
    </row>
    <row r="33" spans="1:2" ht="22.5" customHeight="1">
      <c r="A33" s="52"/>
      <c r="B33" s="46">
        <v>5</v>
      </c>
    </row>
    <row r="34" spans="1:2" ht="22.5" customHeight="1">
      <c r="A34" s="51" t="s">
        <v>207</v>
      </c>
      <c r="B34" s="9" t="s">
        <v>256</v>
      </c>
    </row>
    <row r="35" spans="1:2" ht="22.5" customHeight="1">
      <c r="A35" s="52"/>
      <c r="B35" s="46">
        <v>0</v>
      </c>
    </row>
    <row r="36" spans="1:2" ht="22.5" customHeight="1">
      <c r="A36" s="51" t="s">
        <v>214</v>
      </c>
      <c r="B36" s="9" t="s">
        <v>256</v>
      </c>
    </row>
    <row r="37" spans="1:2" ht="22.5" customHeight="1">
      <c r="A37" s="52"/>
      <c r="B37" s="46">
        <v>2.5</v>
      </c>
    </row>
    <row r="38" spans="1:2" ht="22.5" customHeight="1">
      <c r="A38" s="51" t="s">
        <v>220</v>
      </c>
      <c r="B38" s="9" t="s">
        <v>256</v>
      </c>
    </row>
    <row r="39" spans="1:2" ht="22.5" customHeight="1">
      <c r="A39" s="52"/>
      <c r="B39" s="46">
        <v>15.5</v>
      </c>
    </row>
    <row r="40" spans="1:2" ht="22.5" customHeight="1">
      <c r="A40" s="51" t="s">
        <v>224</v>
      </c>
      <c r="B40" s="9" t="s">
        <v>256</v>
      </c>
    </row>
    <row r="41" spans="1:2" ht="22.5" customHeight="1">
      <c r="A41" s="52"/>
      <c r="B41" s="46">
        <v>2.5</v>
      </c>
    </row>
    <row r="42" spans="1:2" ht="22.5" customHeight="1">
      <c r="A42" s="51" t="s">
        <v>231</v>
      </c>
      <c r="B42" s="9" t="s">
        <v>256</v>
      </c>
    </row>
    <row r="43" spans="1:2" ht="22.5" customHeight="1">
      <c r="A43" s="52"/>
      <c r="B43" s="46">
        <v>0</v>
      </c>
    </row>
    <row r="44" spans="1:2" ht="22.5" customHeight="1">
      <c r="A44" s="51" t="s">
        <v>243</v>
      </c>
      <c r="B44" s="9" t="s">
        <v>256</v>
      </c>
    </row>
    <row r="45" spans="1:2" ht="22.5" customHeight="1">
      <c r="A45" s="52"/>
      <c r="B45" s="46">
        <v>5.5</v>
      </c>
    </row>
    <row r="46" spans="1:2" ht="22.5" customHeight="1">
      <c r="A46" s="51" t="s">
        <v>252</v>
      </c>
      <c r="B46" s="9" t="s">
        <v>256</v>
      </c>
    </row>
    <row r="47" spans="1:2" ht="22.5" customHeight="1">
      <c r="A47" s="52"/>
      <c r="B47" s="46">
        <v>0</v>
      </c>
    </row>
    <row r="48" spans="1:2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</sheetData>
  <mergeCells count="25">
    <mergeCell ref="A46:A47"/>
    <mergeCell ref="A34:A35"/>
    <mergeCell ref="A36:A37"/>
    <mergeCell ref="A38:A39"/>
    <mergeCell ref="A40:A41"/>
    <mergeCell ref="A42:A43"/>
    <mergeCell ref="A44:A45"/>
    <mergeCell ref="A32:A33"/>
    <mergeCell ref="A12:A13"/>
    <mergeCell ref="A14:A15"/>
    <mergeCell ref="A16:A17"/>
    <mergeCell ref="A18:B18"/>
    <mergeCell ref="A19:A20"/>
    <mergeCell ref="A21:A22"/>
    <mergeCell ref="A23:A24"/>
    <mergeCell ref="A25:A26"/>
    <mergeCell ref="A27:A28"/>
    <mergeCell ref="A29:A30"/>
    <mergeCell ref="A31:B31"/>
    <mergeCell ref="A10:A11"/>
    <mergeCell ref="A1:B1"/>
    <mergeCell ref="A2:A3"/>
    <mergeCell ref="A4:A5"/>
    <mergeCell ref="A6:A7"/>
    <mergeCell ref="A8:A9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0EDE-2323-43AB-B57C-A2EEEECC6D4C}">
  <dimension ref="A1:B199"/>
  <sheetViews>
    <sheetView workbookViewId="0">
      <selection sqref="A1:B1"/>
    </sheetView>
  </sheetViews>
  <sheetFormatPr defaultColWidth="12.9140625" defaultRowHeight="13"/>
  <cols>
    <col min="1" max="1" width="22.6640625" style="3" customWidth="1"/>
    <col min="2" max="26" width="12.58203125" style="3" customWidth="1"/>
    <col min="27" max="16384" width="12.9140625" style="3"/>
  </cols>
  <sheetData>
    <row r="1" spans="1:2" ht="30" customHeight="1">
      <c r="A1" s="48" t="s">
        <v>1</v>
      </c>
      <c r="B1" s="49"/>
    </row>
    <row r="2" spans="1:2" ht="22.5" customHeight="1">
      <c r="A2" s="51" t="s">
        <v>3</v>
      </c>
      <c r="B2" s="9" t="s">
        <v>256</v>
      </c>
    </row>
    <row r="3" spans="1:2" ht="22.5" customHeight="1">
      <c r="A3" s="52"/>
      <c r="B3" s="46">
        <v>7.5</v>
      </c>
    </row>
    <row r="4" spans="1:2" ht="22.5" customHeight="1">
      <c r="A4" s="51" t="s">
        <v>26</v>
      </c>
      <c r="B4" s="9" t="s">
        <v>256</v>
      </c>
    </row>
    <row r="5" spans="1:2" ht="22.5" customHeight="1">
      <c r="A5" s="52"/>
      <c r="B5" s="46">
        <v>17.5</v>
      </c>
    </row>
    <row r="6" spans="1:2" ht="22.5" customHeight="1">
      <c r="A6" s="51" t="s">
        <v>46</v>
      </c>
      <c r="B6" s="9" t="s">
        <v>256</v>
      </c>
    </row>
    <row r="7" spans="1:2" ht="22.5" customHeight="1">
      <c r="A7" s="52"/>
      <c r="B7" s="46">
        <v>10</v>
      </c>
    </row>
    <row r="8" spans="1:2" ht="22.5" customHeight="1">
      <c r="A8" s="51" t="s">
        <v>58</v>
      </c>
      <c r="B8" s="9" t="s">
        <v>256</v>
      </c>
    </row>
    <row r="9" spans="1:2" ht="22.5" customHeight="1">
      <c r="A9" s="52"/>
      <c r="B9" s="46">
        <v>6</v>
      </c>
    </row>
    <row r="10" spans="1:2" ht="22.5" customHeight="1">
      <c r="A10" s="51" t="s">
        <v>79</v>
      </c>
      <c r="B10" s="9" t="s">
        <v>256</v>
      </c>
    </row>
    <row r="11" spans="1:2" ht="22.5" customHeight="1">
      <c r="A11" s="52"/>
      <c r="B11" s="46">
        <v>11</v>
      </c>
    </row>
    <row r="12" spans="1:2" ht="22.5" customHeight="1">
      <c r="A12" s="51" t="s">
        <v>94</v>
      </c>
      <c r="B12" s="9" t="s">
        <v>256</v>
      </c>
    </row>
    <row r="13" spans="1:2" ht="22.5" customHeight="1">
      <c r="A13" s="52"/>
      <c r="B13" s="46">
        <v>17</v>
      </c>
    </row>
    <row r="14" spans="1:2" ht="22.5" customHeight="1">
      <c r="A14" s="51" t="s">
        <v>107</v>
      </c>
      <c r="B14" s="9" t="s">
        <v>256</v>
      </c>
    </row>
    <row r="15" spans="1:2" ht="22.5" customHeight="1">
      <c r="A15" s="52"/>
      <c r="B15" s="46">
        <v>12</v>
      </c>
    </row>
    <row r="16" spans="1:2" ht="22.5" customHeight="1">
      <c r="A16" s="51" t="s">
        <v>125</v>
      </c>
      <c r="B16" s="9" t="s">
        <v>256</v>
      </c>
    </row>
    <row r="17" spans="1:2" ht="22.5" customHeight="1">
      <c r="A17" s="52"/>
      <c r="B17" s="46">
        <v>5</v>
      </c>
    </row>
    <row r="18" spans="1:2" ht="27" customHeight="1">
      <c r="A18" s="48" t="s">
        <v>140</v>
      </c>
      <c r="B18" s="49"/>
    </row>
    <row r="19" spans="1:2" ht="22.5" customHeight="1">
      <c r="A19" s="51" t="s">
        <v>141</v>
      </c>
      <c r="B19" s="9" t="s">
        <v>256</v>
      </c>
    </row>
    <row r="20" spans="1:2" ht="22.5" customHeight="1">
      <c r="A20" s="52"/>
      <c r="B20" s="46">
        <v>2.5</v>
      </c>
    </row>
    <row r="21" spans="1:2" ht="22.5" customHeight="1">
      <c r="A21" s="51" t="s">
        <v>144</v>
      </c>
      <c r="B21" s="9" t="s">
        <v>256</v>
      </c>
    </row>
    <row r="22" spans="1:2" ht="22.5" customHeight="1">
      <c r="A22" s="52"/>
      <c r="B22" s="46">
        <v>7.5</v>
      </c>
    </row>
    <row r="23" spans="1:2" ht="22.5" customHeight="1">
      <c r="A23" s="51" t="s">
        <v>159</v>
      </c>
      <c r="B23" s="9" t="s">
        <v>256</v>
      </c>
    </row>
    <row r="24" spans="1:2" ht="22.5" customHeight="1">
      <c r="A24" s="52"/>
      <c r="B24" s="46">
        <v>5</v>
      </c>
    </row>
    <row r="25" spans="1:2" ht="22.5" customHeight="1">
      <c r="A25" s="51" t="s">
        <v>173</v>
      </c>
      <c r="B25" s="9" t="s">
        <v>256</v>
      </c>
    </row>
    <row r="26" spans="1:2" ht="22.5" customHeight="1">
      <c r="A26" s="52"/>
      <c r="B26" s="46">
        <v>0</v>
      </c>
    </row>
    <row r="27" spans="1:2" ht="22.5" customHeight="1">
      <c r="A27" s="51" t="s">
        <v>181</v>
      </c>
      <c r="B27" s="9" t="s">
        <v>256</v>
      </c>
    </row>
    <row r="28" spans="1:2" ht="22.5" customHeight="1">
      <c r="A28" s="52"/>
      <c r="B28" s="46">
        <v>9</v>
      </c>
    </row>
    <row r="29" spans="1:2" ht="22.5" customHeight="1">
      <c r="A29" s="51" t="s">
        <v>186</v>
      </c>
      <c r="B29" s="9" t="s">
        <v>256</v>
      </c>
    </row>
    <row r="30" spans="1:2" ht="22.5" customHeight="1">
      <c r="A30" s="52"/>
      <c r="B30" s="46">
        <v>8</v>
      </c>
    </row>
    <row r="31" spans="1:2" ht="28.5" customHeight="1">
      <c r="A31" s="48" t="s">
        <v>194</v>
      </c>
      <c r="B31" s="49"/>
    </row>
    <row r="32" spans="1:2" ht="22.5" customHeight="1">
      <c r="A32" s="51" t="s">
        <v>195</v>
      </c>
      <c r="B32" s="9" t="s">
        <v>256</v>
      </c>
    </row>
    <row r="33" spans="1:2" ht="22.5" customHeight="1">
      <c r="A33" s="52"/>
      <c r="B33" s="46">
        <v>5</v>
      </c>
    </row>
    <row r="34" spans="1:2" ht="22.5" customHeight="1">
      <c r="A34" s="51" t="s">
        <v>207</v>
      </c>
      <c r="B34" s="9" t="s">
        <v>256</v>
      </c>
    </row>
    <row r="35" spans="1:2" ht="22.5" customHeight="1">
      <c r="A35" s="52"/>
      <c r="B35" s="46">
        <v>8</v>
      </c>
    </row>
    <row r="36" spans="1:2" ht="22.5" customHeight="1">
      <c r="A36" s="51" t="s">
        <v>214</v>
      </c>
      <c r="B36" s="9" t="s">
        <v>256</v>
      </c>
    </row>
    <row r="37" spans="1:2" ht="22.5" customHeight="1">
      <c r="A37" s="52"/>
      <c r="B37" s="46">
        <v>2.5</v>
      </c>
    </row>
    <row r="38" spans="1:2" ht="22.5" customHeight="1">
      <c r="A38" s="51" t="s">
        <v>220</v>
      </c>
      <c r="B38" s="9" t="s">
        <v>256</v>
      </c>
    </row>
    <row r="39" spans="1:2" ht="22.5" customHeight="1">
      <c r="A39" s="52"/>
      <c r="B39" s="46">
        <v>9</v>
      </c>
    </row>
    <row r="40" spans="1:2" ht="22.5" customHeight="1">
      <c r="A40" s="51" t="s">
        <v>224</v>
      </c>
      <c r="B40" s="9" t="s">
        <v>256</v>
      </c>
    </row>
    <row r="41" spans="1:2" ht="22.5" customHeight="1">
      <c r="A41" s="52"/>
      <c r="B41" s="46">
        <v>0</v>
      </c>
    </row>
    <row r="42" spans="1:2" ht="22.5" customHeight="1">
      <c r="A42" s="51" t="s">
        <v>231</v>
      </c>
      <c r="B42" s="9" t="s">
        <v>256</v>
      </c>
    </row>
    <row r="43" spans="1:2" ht="22.5" customHeight="1">
      <c r="A43" s="52"/>
      <c r="B43" s="46">
        <v>2.5</v>
      </c>
    </row>
    <row r="44" spans="1:2" ht="22.5" customHeight="1">
      <c r="A44" s="51" t="s">
        <v>243</v>
      </c>
      <c r="B44" s="9" t="s">
        <v>256</v>
      </c>
    </row>
    <row r="45" spans="1:2" ht="22.5" customHeight="1">
      <c r="A45" s="52"/>
      <c r="B45" s="46">
        <v>2.5</v>
      </c>
    </row>
    <row r="46" spans="1:2" ht="22.5" customHeight="1">
      <c r="A46" s="51" t="s">
        <v>252</v>
      </c>
      <c r="B46" s="9" t="s">
        <v>256</v>
      </c>
    </row>
    <row r="47" spans="1:2" ht="22.5" customHeight="1">
      <c r="A47" s="52"/>
      <c r="B47" s="46">
        <v>2.5</v>
      </c>
    </row>
    <row r="48" spans="1:2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</sheetData>
  <mergeCells count="25">
    <mergeCell ref="A46:A47"/>
    <mergeCell ref="A34:A35"/>
    <mergeCell ref="A36:A37"/>
    <mergeCell ref="A38:A39"/>
    <mergeCell ref="A40:A41"/>
    <mergeCell ref="A42:A43"/>
    <mergeCell ref="A44:A45"/>
    <mergeCell ref="A32:A33"/>
    <mergeCell ref="A12:A13"/>
    <mergeCell ref="A14:A15"/>
    <mergeCell ref="A16:A17"/>
    <mergeCell ref="A18:B18"/>
    <mergeCell ref="A19:A20"/>
    <mergeCell ref="A21:A22"/>
    <mergeCell ref="A23:A24"/>
    <mergeCell ref="A25:A26"/>
    <mergeCell ref="A27:A28"/>
    <mergeCell ref="A29:A30"/>
    <mergeCell ref="A31:B31"/>
    <mergeCell ref="A10:A11"/>
    <mergeCell ref="A1:B1"/>
    <mergeCell ref="A2:A3"/>
    <mergeCell ref="A4:A5"/>
    <mergeCell ref="A6:A7"/>
    <mergeCell ref="A8:A9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D5325-F61B-4E01-9062-83D04C2BA8FE}">
  <dimension ref="A1:B199"/>
  <sheetViews>
    <sheetView workbookViewId="0">
      <selection activeCell="J15" sqref="J15"/>
    </sheetView>
  </sheetViews>
  <sheetFormatPr defaultColWidth="12.9140625" defaultRowHeight="13"/>
  <cols>
    <col min="1" max="1" width="22.6640625" style="3" customWidth="1"/>
    <col min="2" max="26" width="12.58203125" style="3" customWidth="1"/>
    <col min="27" max="16384" width="12.9140625" style="3"/>
  </cols>
  <sheetData>
    <row r="1" spans="1:2" ht="30" customHeight="1">
      <c r="A1" s="48" t="s">
        <v>1</v>
      </c>
      <c r="B1" s="49"/>
    </row>
    <row r="2" spans="1:2" ht="22.5" customHeight="1">
      <c r="A2" s="51" t="s">
        <v>3</v>
      </c>
      <c r="B2" s="9" t="s">
        <v>256</v>
      </c>
    </row>
    <row r="3" spans="1:2" ht="22.5" customHeight="1">
      <c r="A3" s="52"/>
      <c r="B3" s="46">
        <v>8</v>
      </c>
    </row>
    <row r="4" spans="1:2" ht="22.5" customHeight="1">
      <c r="A4" s="51" t="s">
        <v>26</v>
      </c>
      <c r="B4" s="9" t="s">
        <v>256</v>
      </c>
    </row>
    <row r="5" spans="1:2" ht="22.5" customHeight="1">
      <c r="A5" s="52"/>
      <c r="B5" s="46">
        <v>16</v>
      </c>
    </row>
    <row r="6" spans="1:2" ht="22.5" customHeight="1">
      <c r="A6" s="51" t="s">
        <v>46</v>
      </c>
      <c r="B6" s="9" t="s">
        <v>256</v>
      </c>
    </row>
    <row r="7" spans="1:2" ht="22.5" customHeight="1">
      <c r="A7" s="52"/>
      <c r="B7" s="46">
        <v>6</v>
      </c>
    </row>
    <row r="8" spans="1:2" ht="22.5" customHeight="1">
      <c r="A8" s="51" t="s">
        <v>58</v>
      </c>
      <c r="B8" s="9" t="s">
        <v>256</v>
      </c>
    </row>
    <row r="9" spans="1:2" ht="22.5" customHeight="1">
      <c r="A9" s="52"/>
      <c r="B9" s="46">
        <v>4</v>
      </c>
    </row>
    <row r="10" spans="1:2" ht="22.5" customHeight="1">
      <c r="A10" s="51" t="s">
        <v>79</v>
      </c>
      <c r="B10" s="9" t="s">
        <v>256</v>
      </c>
    </row>
    <row r="11" spans="1:2" ht="22.5" customHeight="1">
      <c r="A11" s="52"/>
      <c r="B11" s="46">
        <v>14</v>
      </c>
    </row>
    <row r="12" spans="1:2" ht="22.5" customHeight="1">
      <c r="A12" s="51" t="s">
        <v>94</v>
      </c>
      <c r="B12" s="9" t="s">
        <v>256</v>
      </c>
    </row>
    <row r="13" spans="1:2" ht="22.5" customHeight="1">
      <c r="A13" s="52"/>
      <c r="B13" s="46">
        <v>20</v>
      </c>
    </row>
    <row r="14" spans="1:2" ht="22.5" customHeight="1">
      <c r="A14" s="51" t="s">
        <v>107</v>
      </c>
      <c r="B14" s="9" t="s">
        <v>256</v>
      </c>
    </row>
    <row r="15" spans="1:2" ht="22.5" customHeight="1">
      <c r="A15" s="52"/>
      <c r="B15" s="46">
        <v>9</v>
      </c>
    </row>
    <row r="16" spans="1:2" ht="22.5" customHeight="1">
      <c r="A16" s="51" t="s">
        <v>125</v>
      </c>
      <c r="B16" s="9" t="s">
        <v>256</v>
      </c>
    </row>
    <row r="17" spans="1:2" ht="22.5" customHeight="1">
      <c r="A17" s="52"/>
      <c r="B17" s="46">
        <v>7</v>
      </c>
    </row>
    <row r="18" spans="1:2" ht="27" customHeight="1">
      <c r="A18" s="48" t="s">
        <v>140</v>
      </c>
      <c r="B18" s="49"/>
    </row>
    <row r="19" spans="1:2" ht="22.5" customHeight="1">
      <c r="A19" s="51" t="s">
        <v>141</v>
      </c>
      <c r="B19" s="9" t="s">
        <v>256</v>
      </c>
    </row>
    <row r="20" spans="1:2" ht="22.5" customHeight="1">
      <c r="A20" s="52"/>
      <c r="B20" s="46">
        <v>4</v>
      </c>
    </row>
    <row r="21" spans="1:2" ht="22.5" customHeight="1">
      <c r="A21" s="51" t="s">
        <v>144</v>
      </c>
      <c r="B21" s="9" t="s">
        <v>256</v>
      </c>
    </row>
    <row r="22" spans="1:2" ht="22.5" customHeight="1">
      <c r="A22" s="52"/>
      <c r="B22" s="46">
        <v>6</v>
      </c>
    </row>
    <row r="23" spans="1:2" ht="22.5" customHeight="1">
      <c r="A23" s="51" t="s">
        <v>159</v>
      </c>
      <c r="B23" s="9" t="s">
        <v>256</v>
      </c>
    </row>
    <row r="24" spans="1:2" ht="22.5" customHeight="1">
      <c r="A24" s="52"/>
      <c r="B24" s="46">
        <v>4</v>
      </c>
    </row>
    <row r="25" spans="1:2" ht="22.5" customHeight="1">
      <c r="A25" s="51" t="s">
        <v>173</v>
      </c>
      <c r="B25" s="9" t="s">
        <v>256</v>
      </c>
    </row>
    <row r="26" spans="1:2" ht="22.5" customHeight="1">
      <c r="A26" s="52"/>
      <c r="B26" s="46">
        <v>0</v>
      </c>
    </row>
    <row r="27" spans="1:2" ht="22.5" customHeight="1">
      <c r="A27" s="51" t="s">
        <v>181</v>
      </c>
      <c r="B27" s="9" t="s">
        <v>256</v>
      </c>
    </row>
    <row r="28" spans="1:2" ht="22.5" customHeight="1">
      <c r="A28" s="52"/>
      <c r="B28" s="46">
        <v>12.5</v>
      </c>
    </row>
    <row r="29" spans="1:2" ht="22.5" customHeight="1">
      <c r="A29" s="51" t="s">
        <v>186</v>
      </c>
      <c r="B29" s="9" t="s">
        <v>256</v>
      </c>
    </row>
    <row r="30" spans="1:2" ht="22.5" customHeight="1">
      <c r="A30" s="52"/>
      <c r="B30" s="46">
        <v>5.5</v>
      </c>
    </row>
    <row r="31" spans="1:2" ht="28.5" customHeight="1">
      <c r="A31" s="48" t="s">
        <v>194</v>
      </c>
      <c r="B31" s="49"/>
    </row>
    <row r="32" spans="1:2" ht="22.5" customHeight="1">
      <c r="A32" s="51" t="s">
        <v>195</v>
      </c>
      <c r="B32" s="9" t="s">
        <v>256</v>
      </c>
    </row>
    <row r="33" spans="1:2" ht="22.5" customHeight="1">
      <c r="A33" s="52"/>
      <c r="B33" s="46">
        <v>6</v>
      </c>
    </row>
    <row r="34" spans="1:2" ht="22.5" customHeight="1">
      <c r="A34" s="51" t="s">
        <v>207</v>
      </c>
      <c r="B34" s="9" t="s">
        <v>256</v>
      </c>
    </row>
    <row r="35" spans="1:2" ht="22.5" customHeight="1">
      <c r="A35" s="52"/>
      <c r="B35" s="46">
        <v>2</v>
      </c>
    </row>
    <row r="36" spans="1:2" ht="22.5" customHeight="1">
      <c r="A36" s="51" t="s">
        <v>214</v>
      </c>
      <c r="B36" s="9" t="s">
        <v>256</v>
      </c>
    </row>
    <row r="37" spans="1:2" ht="22.5" customHeight="1">
      <c r="A37" s="52"/>
      <c r="B37" s="46">
        <v>11</v>
      </c>
    </row>
    <row r="38" spans="1:2" ht="22.5" customHeight="1">
      <c r="A38" s="51" t="s">
        <v>220</v>
      </c>
      <c r="B38" s="9" t="s">
        <v>256</v>
      </c>
    </row>
    <row r="39" spans="1:2" ht="22.5" customHeight="1">
      <c r="A39" s="52"/>
      <c r="B39" s="46">
        <v>4</v>
      </c>
    </row>
    <row r="40" spans="1:2" ht="22.5" customHeight="1">
      <c r="A40" s="51" t="s">
        <v>224</v>
      </c>
      <c r="B40" s="9" t="s">
        <v>256</v>
      </c>
    </row>
    <row r="41" spans="1:2" ht="22.5" customHeight="1">
      <c r="A41" s="52"/>
      <c r="B41" s="46">
        <v>4</v>
      </c>
    </row>
    <row r="42" spans="1:2" ht="22.5" customHeight="1">
      <c r="A42" s="51" t="s">
        <v>231</v>
      </c>
      <c r="B42" s="9" t="s">
        <v>256</v>
      </c>
    </row>
    <row r="43" spans="1:2" ht="22.5" customHeight="1">
      <c r="A43" s="52"/>
      <c r="B43" s="46">
        <v>0</v>
      </c>
    </row>
    <row r="44" spans="1:2" ht="22.5" customHeight="1">
      <c r="A44" s="51" t="s">
        <v>243</v>
      </c>
      <c r="B44" s="9" t="s">
        <v>256</v>
      </c>
    </row>
    <row r="45" spans="1:2" ht="22.5" customHeight="1">
      <c r="A45" s="52"/>
      <c r="B45" s="46">
        <v>7</v>
      </c>
    </row>
    <row r="46" spans="1:2" ht="22.5" customHeight="1">
      <c r="A46" s="51" t="s">
        <v>252</v>
      </c>
      <c r="B46" s="9" t="s">
        <v>256</v>
      </c>
    </row>
    <row r="47" spans="1:2" ht="22.5" customHeight="1">
      <c r="A47" s="52"/>
      <c r="B47" s="46">
        <v>0</v>
      </c>
    </row>
    <row r="48" spans="1:2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</sheetData>
  <mergeCells count="25">
    <mergeCell ref="A46:A47"/>
    <mergeCell ref="A34:A35"/>
    <mergeCell ref="A36:A37"/>
    <mergeCell ref="A38:A39"/>
    <mergeCell ref="A40:A41"/>
    <mergeCell ref="A42:A43"/>
    <mergeCell ref="A44:A45"/>
    <mergeCell ref="A32:A33"/>
    <mergeCell ref="A12:A13"/>
    <mergeCell ref="A14:A15"/>
    <mergeCell ref="A16:A17"/>
    <mergeCell ref="A18:B18"/>
    <mergeCell ref="A19:A20"/>
    <mergeCell ref="A21:A22"/>
    <mergeCell ref="A23:A24"/>
    <mergeCell ref="A25:A26"/>
    <mergeCell ref="A27:A28"/>
    <mergeCell ref="A29:A30"/>
    <mergeCell ref="A31:B31"/>
    <mergeCell ref="A10:A11"/>
    <mergeCell ref="A1:B1"/>
    <mergeCell ref="A2:A3"/>
    <mergeCell ref="A4:A5"/>
    <mergeCell ref="A6:A7"/>
    <mergeCell ref="A8:A9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707A0-FA89-41E4-AB40-B3330F10FB8B}">
  <dimension ref="A1:B199"/>
  <sheetViews>
    <sheetView workbookViewId="0">
      <selection sqref="A1:B1"/>
    </sheetView>
  </sheetViews>
  <sheetFormatPr defaultColWidth="12.9140625" defaultRowHeight="13"/>
  <cols>
    <col min="1" max="1" width="22.6640625" style="3" customWidth="1"/>
    <col min="2" max="26" width="12.58203125" style="3" customWidth="1"/>
    <col min="27" max="16384" width="12.9140625" style="3"/>
  </cols>
  <sheetData>
    <row r="1" spans="1:2" ht="30" customHeight="1">
      <c r="A1" s="48" t="s">
        <v>1</v>
      </c>
      <c r="B1" s="49"/>
    </row>
    <row r="2" spans="1:2" ht="22.5" customHeight="1">
      <c r="A2" s="51" t="s">
        <v>3</v>
      </c>
      <c r="B2" s="9" t="s">
        <v>256</v>
      </c>
    </row>
    <row r="3" spans="1:2" ht="22.5" customHeight="1">
      <c r="A3" s="52"/>
    </row>
    <row r="4" spans="1:2" ht="22.5" customHeight="1">
      <c r="A4" s="51" t="s">
        <v>26</v>
      </c>
      <c r="B4" s="9" t="s">
        <v>256</v>
      </c>
    </row>
    <row r="5" spans="1:2" ht="22.5" customHeight="1">
      <c r="A5" s="52"/>
    </row>
    <row r="6" spans="1:2" ht="22.5" customHeight="1">
      <c r="A6" s="51" t="s">
        <v>46</v>
      </c>
      <c r="B6" s="9" t="s">
        <v>256</v>
      </c>
    </row>
    <row r="7" spans="1:2" ht="22.5" customHeight="1">
      <c r="A7" s="52"/>
    </row>
    <row r="8" spans="1:2" ht="22.5" customHeight="1">
      <c r="A8" s="51" t="s">
        <v>58</v>
      </c>
      <c r="B8" s="9" t="s">
        <v>256</v>
      </c>
    </row>
    <row r="9" spans="1:2" ht="22.5" customHeight="1">
      <c r="A9" s="52"/>
    </row>
    <row r="10" spans="1:2" ht="22.5" customHeight="1">
      <c r="A10" s="51" t="s">
        <v>79</v>
      </c>
      <c r="B10" s="9" t="s">
        <v>256</v>
      </c>
    </row>
    <row r="11" spans="1:2" ht="22.5" customHeight="1">
      <c r="A11" s="52"/>
    </row>
    <row r="12" spans="1:2" ht="22.5" customHeight="1">
      <c r="A12" s="51" t="s">
        <v>94</v>
      </c>
      <c r="B12" s="9" t="s">
        <v>256</v>
      </c>
    </row>
    <row r="13" spans="1:2" ht="22.5" customHeight="1">
      <c r="A13" s="52"/>
    </row>
    <row r="14" spans="1:2" ht="22.5" customHeight="1">
      <c r="A14" s="51" t="s">
        <v>107</v>
      </c>
      <c r="B14" s="9" t="s">
        <v>256</v>
      </c>
    </row>
    <row r="15" spans="1:2" ht="22.5" customHeight="1">
      <c r="A15" s="52"/>
    </row>
    <row r="16" spans="1:2" ht="22.5" customHeight="1">
      <c r="A16" s="51" t="s">
        <v>125</v>
      </c>
      <c r="B16" s="9" t="s">
        <v>256</v>
      </c>
    </row>
    <row r="17" spans="1:2" ht="22.5" customHeight="1">
      <c r="A17" s="52"/>
    </row>
    <row r="18" spans="1:2" ht="27" customHeight="1">
      <c r="A18" s="48" t="s">
        <v>140</v>
      </c>
      <c r="B18" s="49"/>
    </row>
    <row r="19" spans="1:2" ht="22.5" customHeight="1">
      <c r="A19" s="51" t="s">
        <v>141</v>
      </c>
      <c r="B19" s="9" t="s">
        <v>256</v>
      </c>
    </row>
    <row r="20" spans="1:2" ht="22.5" customHeight="1">
      <c r="A20" s="52"/>
    </row>
    <row r="21" spans="1:2" ht="22.5" customHeight="1">
      <c r="A21" s="51" t="s">
        <v>144</v>
      </c>
      <c r="B21" s="9" t="s">
        <v>256</v>
      </c>
    </row>
    <row r="22" spans="1:2" ht="22.5" customHeight="1">
      <c r="A22" s="52"/>
    </row>
    <row r="23" spans="1:2" ht="22.5" customHeight="1">
      <c r="A23" s="51" t="s">
        <v>159</v>
      </c>
      <c r="B23" s="9" t="s">
        <v>256</v>
      </c>
    </row>
    <row r="24" spans="1:2" ht="22.5" customHeight="1">
      <c r="A24" s="52"/>
    </row>
    <row r="25" spans="1:2" ht="22.5" customHeight="1">
      <c r="A25" s="51" t="s">
        <v>173</v>
      </c>
      <c r="B25" s="9" t="s">
        <v>256</v>
      </c>
    </row>
    <row r="26" spans="1:2" ht="22.5" customHeight="1">
      <c r="A26" s="52"/>
    </row>
    <row r="27" spans="1:2" ht="22.5" customHeight="1">
      <c r="A27" s="51" t="s">
        <v>181</v>
      </c>
      <c r="B27" s="9" t="s">
        <v>256</v>
      </c>
    </row>
    <row r="28" spans="1:2" ht="22.5" customHeight="1">
      <c r="A28" s="52"/>
    </row>
    <row r="29" spans="1:2" ht="22.5" customHeight="1">
      <c r="A29" s="51" t="s">
        <v>186</v>
      </c>
      <c r="B29" s="9" t="s">
        <v>256</v>
      </c>
    </row>
    <row r="30" spans="1:2" ht="22.5" customHeight="1">
      <c r="A30" s="52"/>
    </row>
    <row r="31" spans="1:2" ht="28.5" customHeight="1">
      <c r="A31" s="48" t="s">
        <v>194</v>
      </c>
      <c r="B31" s="49"/>
    </row>
    <row r="32" spans="1:2" ht="22.5" customHeight="1">
      <c r="A32" s="51" t="s">
        <v>195</v>
      </c>
      <c r="B32" s="9" t="s">
        <v>256</v>
      </c>
    </row>
    <row r="33" spans="1:2" ht="22.5" customHeight="1">
      <c r="A33" s="52"/>
    </row>
    <row r="34" spans="1:2" ht="22.5" customHeight="1">
      <c r="A34" s="51" t="s">
        <v>207</v>
      </c>
      <c r="B34" s="9" t="s">
        <v>256</v>
      </c>
    </row>
    <row r="35" spans="1:2" ht="22.5" customHeight="1">
      <c r="A35" s="52"/>
    </row>
    <row r="36" spans="1:2" ht="22.5" customHeight="1">
      <c r="A36" s="51" t="s">
        <v>214</v>
      </c>
      <c r="B36" s="9" t="s">
        <v>256</v>
      </c>
    </row>
    <row r="37" spans="1:2" ht="22.5" customHeight="1">
      <c r="A37" s="52"/>
    </row>
    <row r="38" spans="1:2" ht="22.5" customHeight="1">
      <c r="A38" s="51" t="s">
        <v>220</v>
      </c>
      <c r="B38" s="9" t="s">
        <v>256</v>
      </c>
    </row>
    <row r="39" spans="1:2" ht="22.5" customHeight="1">
      <c r="A39" s="52"/>
    </row>
    <row r="40" spans="1:2" ht="22.5" customHeight="1">
      <c r="A40" s="51" t="s">
        <v>224</v>
      </c>
      <c r="B40" s="9" t="s">
        <v>256</v>
      </c>
    </row>
    <row r="41" spans="1:2" ht="22.5" customHeight="1">
      <c r="A41" s="52"/>
    </row>
    <row r="42" spans="1:2" ht="22.5" customHeight="1">
      <c r="A42" s="51" t="s">
        <v>231</v>
      </c>
      <c r="B42" s="9" t="s">
        <v>256</v>
      </c>
    </row>
    <row r="43" spans="1:2" ht="22.5" customHeight="1">
      <c r="A43" s="52"/>
      <c r="B43" s="14"/>
    </row>
    <row r="44" spans="1:2" ht="22.5" customHeight="1">
      <c r="A44" s="51" t="s">
        <v>243</v>
      </c>
      <c r="B44" s="9" t="s">
        <v>256</v>
      </c>
    </row>
    <row r="45" spans="1:2" ht="22.5" customHeight="1">
      <c r="A45" s="52"/>
    </row>
    <row r="46" spans="1:2" ht="22.5" customHeight="1">
      <c r="A46" s="51" t="s">
        <v>252</v>
      </c>
      <c r="B46" s="9" t="s">
        <v>256</v>
      </c>
    </row>
    <row r="47" spans="1:2" ht="22.5" customHeight="1">
      <c r="A47" s="52"/>
    </row>
    <row r="48" spans="1:2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</sheetData>
  <mergeCells count="25">
    <mergeCell ref="A46:A47"/>
    <mergeCell ref="A34:A35"/>
    <mergeCell ref="A36:A37"/>
    <mergeCell ref="A38:A39"/>
    <mergeCell ref="A40:A41"/>
    <mergeCell ref="A42:A43"/>
    <mergeCell ref="A44:A45"/>
    <mergeCell ref="A32:A33"/>
    <mergeCell ref="A12:A13"/>
    <mergeCell ref="A14:A15"/>
    <mergeCell ref="A16:A17"/>
    <mergeCell ref="A18:B18"/>
    <mergeCell ref="A19:A20"/>
    <mergeCell ref="A21:A22"/>
    <mergeCell ref="A23:A24"/>
    <mergeCell ref="A25:A26"/>
    <mergeCell ref="A27:A28"/>
    <mergeCell ref="A29:A30"/>
    <mergeCell ref="A31:B31"/>
    <mergeCell ref="A10:A11"/>
    <mergeCell ref="A1:B1"/>
    <mergeCell ref="A2:A3"/>
    <mergeCell ref="A4:A5"/>
    <mergeCell ref="A6:A7"/>
    <mergeCell ref="A8:A9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CF65D-919F-4B5B-8F48-3BDEBBA6BF46}">
  <dimension ref="A1:B199"/>
  <sheetViews>
    <sheetView workbookViewId="0">
      <selection sqref="A1:B1"/>
    </sheetView>
  </sheetViews>
  <sheetFormatPr defaultColWidth="12.9140625" defaultRowHeight="13"/>
  <cols>
    <col min="1" max="1" width="22.6640625" style="3" customWidth="1"/>
    <col min="2" max="26" width="12.58203125" style="3" customWidth="1"/>
    <col min="27" max="16384" width="12.9140625" style="3"/>
  </cols>
  <sheetData>
    <row r="1" spans="1:2" ht="30" customHeight="1">
      <c r="A1" s="48" t="s">
        <v>1</v>
      </c>
      <c r="B1" s="49"/>
    </row>
    <row r="2" spans="1:2" ht="22.5" customHeight="1">
      <c r="A2" s="51" t="s">
        <v>3</v>
      </c>
      <c r="B2" s="9" t="s">
        <v>256</v>
      </c>
    </row>
    <row r="3" spans="1:2" ht="22.5" customHeight="1">
      <c r="A3" s="52"/>
    </row>
    <row r="4" spans="1:2" ht="22.5" customHeight="1">
      <c r="A4" s="51" t="s">
        <v>26</v>
      </c>
      <c r="B4" s="9" t="s">
        <v>256</v>
      </c>
    </row>
    <row r="5" spans="1:2" ht="22.5" customHeight="1">
      <c r="A5" s="52"/>
    </row>
    <row r="6" spans="1:2" ht="22.5" customHeight="1">
      <c r="A6" s="51" t="s">
        <v>46</v>
      </c>
      <c r="B6" s="9" t="s">
        <v>256</v>
      </c>
    </row>
    <row r="7" spans="1:2" ht="22.5" customHeight="1">
      <c r="A7" s="52"/>
    </row>
    <row r="8" spans="1:2" ht="22.5" customHeight="1">
      <c r="A8" s="51" t="s">
        <v>58</v>
      </c>
      <c r="B8" s="9" t="s">
        <v>256</v>
      </c>
    </row>
    <row r="9" spans="1:2" ht="22.5" customHeight="1">
      <c r="A9" s="52"/>
    </row>
    <row r="10" spans="1:2" ht="22.5" customHeight="1">
      <c r="A10" s="51" t="s">
        <v>79</v>
      </c>
      <c r="B10" s="9" t="s">
        <v>256</v>
      </c>
    </row>
    <row r="11" spans="1:2" ht="22.5" customHeight="1">
      <c r="A11" s="52"/>
    </row>
    <row r="12" spans="1:2" ht="22.5" customHeight="1">
      <c r="A12" s="51" t="s">
        <v>94</v>
      </c>
      <c r="B12" s="9" t="s">
        <v>256</v>
      </c>
    </row>
    <row r="13" spans="1:2" ht="22.5" customHeight="1">
      <c r="A13" s="52"/>
    </row>
    <row r="14" spans="1:2" ht="22.5" customHeight="1">
      <c r="A14" s="51" t="s">
        <v>107</v>
      </c>
      <c r="B14" s="9" t="s">
        <v>256</v>
      </c>
    </row>
    <row r="15" spans="1:2" ht="22.5" customHeight="1">
      <c r="A15" s="52"/>
    </row>
    <row r="16" spans="1:2" ht="22.5" customHeight="1">
      <c r="A16" s="51" t="s">
        <v>125</v>
      </c>
      <c r="B16" s="9" t="s">
        <v>256</v>
      </c>
    </row>
    <row r="17" spans="1:2" ht="22.5" customHeight="1">
      <c r="A17" s="52"/>
    </row>
    <row r="18" spans="1:2" ht="27" customHeight="1">
      <c r="A18" s="48" t="s">
        <v>140</v>
      </c>
      <c r="B18" s="49"/>
    </row>
    <row r="19" spans="1:2" ht="22.5" customHeight="1">
      <c r="A19" s="51" t="s">
        <v>141</v>
      </c>
      <c r="B19" s="9" t="s">
        <v>256</v>
      </c>
    </row>
    <row r="20" spans="1:2" ht="22.5" customHeight="1">
      <c r="A20" s="52"/>
    </row>
    <row r="21" spans="1:2" ht="22.5" customHeight="1">
      <c r="A21" s="51" t="s">
        <v>144</v>
      </c>
      <c r="B21" s="9" t="s">
        <v>256</v>
      </c>
    </row>
    <row r="22" spans="1:2" ht="22.5" customHeight="1">
      <c r="A22" s="52"/>
    </row>
    <row r="23" spans="1:2" ht="22.5" customHeight="1">
      <c r="A23" s="51" t="s">
        <v>159</v>
      </c>
      <c r="B23" s="9" t="s">
        <v>256</v>
      </c>
    </row>
    <row r="24" spans="1:2" ht="22.5" customHeight="1">
      <c r="A24" s="52"/>
    </row>
    <row r="25" spans="1:2" ht="22.5" customHeight="1">
      <c r="A25" s="51" t="s">
        <v>173</v>
      </c>
      <c r="B25" s="9" t="s">
        <v>256</v>
      </c>
    </row>
    <row r="26" spans="1:2" ht="22.5" customHeight="1">
      <c r="A26" s="52"/>
    </row>
    <row r="27" spans="1:2" ht="22.5" customHeight="1">
      <c r="A27" s="51" t="s">
        <v>181</v>
      </c>
      <c r="B27" s="9" t="s">
        <v>256</v>
      </c>
    </row>
    <row r="28" spans="1:2" ht="22.5" customHeight="1">
      <c r="A28" s="52"/>
    </row>
    <row r="29" spans="1:2" ht="22.5" customHeight="1">
      <c r="A29" s="51" t="s">
        <v>186</v>
      </c>
      <c r="B29" s="9" t="s">
        <v>256</v>
      </c>
    </row>
    <row r="30" spans="1:2" ht="22.5" customHeight="1">
      <c r="A30" s="52"/>
    </row>
    <row r="31" spans="1:2" ht="28.5" customHeight="1">
      <c r="A31" s="48" t="s">
        <v>194</v>
      </c>
      <c r="B31" s="49"/>
    </row>
    <row r="32" spans="1:2" ht="22.5" customHeight="1">
      <c r="A32" s="51" t="s">
        <v>195</v>
      </c>
      <c r="B32" s="9" t="s">
        <v>256</v>
      </c>
    </row>
    <row r="33" spans="1:2" ht="22.5" customHeight="1">
      <c r="A33" s="52"/>
    </row>
    <row r="34" spans="1:2" ht="22.5" customHeight="1">
      <c r="A34" s="51" t="s">
        <v>207</v>
      </c>
      <c r="B34" s="9" t="s">
        <v>256</v>
      </c>
    </row>
    <row r="35" spans="1:2" ht="22.5" customHeight="1">
      <c r="A35" s="52"/>
    </row>
    <row r="36" spans="1:2" ht="22.5" customHeight="1">
      <c r="A36" s="51" t="s">
        <v>214</v>
      </c>
      <c r="B36" s="9" t="s">
        <v>256</v>
      </c>
    </row>
    <row r="37" spans="1:2" ht="22.5" customHeight="1">
      <c r="A37" s="52"/>
    </row>
    <row r="38" spans="1:2" ht="22.5" customHeight="1">
      <c r="A38" s="51" t="s">
        <v>220</v>
      </c>
      <c r="B38" s="9" t="s">
        <v>256</v>
      </c>
    </row>
    <row r="39" spans="1:2" ht="22.5" customHeight="1">
      <c r="A39" s="52"/>
    </row>
    <row r="40" spans="1:2" ht="22.5" customHeight="1">
      <c r="A40" s="51" t="s">
        <v>224</v>
      </c>
      <c r="B40" s="9" t="s">
        <v>256</v>
      </c>
    </row>
    <row r="41" spans="1:2" ht="22.5" customHeight="1">
      <c r="A41" s="52"/>
    </row>
    <row r="42" spans="1:2" ht="22.5" customHeight="1">
      <c r="A42" s="51" t="s">
        <v>231</v>
      </c>
      <c r="B42" s="9" t="s">
        <v>256</v>
      </c>
    </row>
    <row r="43" spans="1:2" ht="22.5" customHeight="1">
      <c r="A43" s="52"/>
      <c r="B43" s="14"/>
    </row>
    <row r="44" spans="1:2" ht="22.5" customHeight="1">
      <c r="A44" s="51" t="s">
        <v>243</v>
      </c>
      <c r="B44" s="9" t="s">
        <v>256</v>
      </c>
    </row>
    <row r="45" spans="1:2" ht="22.5" customHeight="1">
      <c r="A45" s="52"/>
    </row>
    <row r="46" spans="1:2" ht="22.5" customHeight="1">
      <c r="A46" s="51" t="s">
        <v>252</v>
      </c>
      <c r="B46" s="9" t="s">
        <v>256</v>
      </c>
    </row>
    <row r="47" spans="1:2" ht="22.5" customHeight="1">
      <c r="A47" s="52"/>
    </row>
    <row r="48" spans="1:2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</sheetData>
  <mergeCells count="25">
    <mergeCell ref="A46:A47"/>
    <mergeCell ref="A34:A35"/>
    <mergeCell ref="A36:A37"/>
    <mergeCell ref="A38:A39"/>
    <mergeCell ref="A40:A41"/>
    <mergeCell ref="A42:A43"/>
    <mergeCell ref="A44:A45"/>
    <mergeCell ref="A32:A33"/>
    <mergeCell ref="A12:A13"/>
    <mergeCell ref="A14:A15"/>
    <mergeCell ref="A16:A17"/>
    <mergeCell ref="A18:B18"/>
    <mergeCell ref="A19:A20"/>
    <mergeCell ref="A21:A22"/>
    <mergeCell ref="A23:A24"/>
    <mergeCell ref="A25:A26"/>
    <mergeCell ref="A27:A28"/>
    <mergeCell ref="A29:A30"/>
    <mergeCell ref="A31:B31"/>
    <mergeCell ref="A10:A11"/>
    <mergeCell ref="A1:B1"/>
    <mergeCell ref="A2:A3"/>
    <mergeCell ref="A4:A5"/>
    <mergeCell ref="A6:A7"/>
    <mergeCell ref="A8:A9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26A21-4CDE-49E8-8A48-45187D0DEE1C}">
  <dimension ref="A1:B199"/>
  <sheetViews>
    <sheetView workbookViewId="0">
      <selection sqref="A1:B1"/>
    </sheetView>
  </sheetViews>
  <sheetFormatPr defaultColWidth="12.9140625" defaultRowHeight="13"/>
  <cols>
    <col min="1" max="1" width="22.6640625" style="3" customWidth="1"/>
    <col min="2" max="26" width="12.58203125" style="3" customWidth="1"/>
    <col min="27" max="16384" width="12.9140625" style="3"/>
  </cols>
  <sheetData>
    <row r="1" spans="1:2" ht="30" customHeight="1">
      <c r="A1" s="48" t="s">
        <v>1</v>
      </c>
      <c r="B1" s="49"/>
    </row>
    <row r="2" spans="1:2" ht="22.5" customHeight="1">
      <c r="A2" s="51" t="s">
        <v>3</v>
      </c>
      <c r="B2" s="9" t="s">
        <v>256</v>
      </c>
    </row>
    <row r="3" spans="1:2" ht="22.5" customHeight="1">
      <c r="A3" s="52"/>
      <c r="B3" s="46">
        <v>12</v>
      </c>
    </row>
    <row r="4" spans="1:2" ht="22.5" customHeight="1">
      <c r="A4" s="51" t="s">
        <v>26</v>
      </c>
      <c r="B4" s="9" t="s">
        <v>256</v>
      </c>
    </row>
    <row r="5" spans="1:2" ht="22.5" customHeight="1">
      <c r="A5" s="52"/>
      <c r="B5" s="46">
        <v>25</v>
      </c>
    </row>
    <row r="6" spans="1:2" ht="22.5" customHeight="1">
      <c r="A6" s="51" t="s">
        <v>46</v>
      </c>
      <c r="B6" s="9" t="s">
        <v>256</v>
      </c>
    </row>
    <row r="7" spans="1:2" ht="22.5" customHeight="1">
      <c r="A7" s="52"/>
      <c r="B7" s="46">
        <v>9</v>
      </c>
    </row>
    <row r="8" spans="1:2" ht="22.5" customHeight="1">
      <c r="A8" s="51" t="s">
        <v>58</v>
      </c>
      <c r="B8" s="9" t="s">
        <v>256</v>
      </c>
    </row>
    <row r="9" spans="1:2" ht="22.5" customHeight="1">
      <c r="A9" s="52"/>
      <c r="B9" s="46">
        <v>3</v>
      </c>
    </row>
    <row r="10" spans="1:2" ht="22.5" customHeight="1">
      <c r="A10" s="51" t="s">
        <v>79</v>
      </c>
      <c r="B10" s="9" t="s">
        <v>256</v>
      </c>
    </row>
    <row r="11" spans="1:2" ht="22.5" customHeight="1">
      <c r="A11" s="52"/>
      <c r="B11" s="46">
        <v>14</v>
      </c>
    </row>
    <row r="12" spans="1:2" ht="22.5" customHeight="1">
      <c r="A12" s="51" t="s">
        <v>94</v>
      </c>
      <c r="B12" s="9" t="s">
        <v>256</v>
      </c>
    </row>
    <row r="13" spans="1:2" ht="22.5" customHeight="1">
      <c r="A13" s="52"/>
      <c r="B13" s="46">
        <v>11</v>
      </c>
    </row>
    <row r="14" spans="1:2" ht="22.5" customHeight="1">
      <c r="A14" s="51" t="s">
        <v>107</v>
      </c>
      <c r="B14" s="9" t="s">
        <v>256</v>
      </c>
    </row>
    <row r="15" spans="1:2" ht="22.5" customHeight="1">
      <c r="A15" s="52"/>
      <c r="B15" s="46">
        <v>4</v>
      </c>
    </row>
    <row r="16" spans="1:2" ht="22.5" customHeight="1">
      <c r="A16" s="51" t="s">
        <v>125</v>
      </c>
      <c r="B16" s="9" t="s">
        <v>256</v>
      </c>
    </row>
    <row r="17" spans="1:2" ht="22.5" customHeight="1">
      <c r="A17" s="52"/>
      <c r="B17" s="46">
        <v>4</v>
      </c>
    </row>
    <row r="18" spans="1:2" ht="27" customHeight="1">
      <c r="A18" s="48" t="s">
        <v>140</v>
      </c>
      <c r="B18" s="49"/>
    </row>
    <row r="19" spans="1:2" ht="22.5" customHeight="1">
      <c r="A19" s="51" t="s">
        <v>141</v>
      </c>
      <c r="B19" s="9" t="s">
        <v>256</v>
      </c>
    </row>
    <row r="20" spans="1:2" ht="22.5" customHeight="1">
      <c r="A20" s="52"/>
      <c r="B20" s="46">
        <v>0</v>
      </c>
    </row>
    <row r="21" spans="1:2" ht="22.5" customHeight="1">
      <c r="A21" s="51" t="s">
        <v>144</v>
      </c>
      <c r="B21" s="9" t="s">
        <v>256</v>
      </c>
    </row>
    <row r="22" spans="1:2" ht="22.5" customHeight="1">
      <c r="A22" s="52"/>
      <c r="B22" s="46">
        <v>8.5</v>
      </c>
    </row>
    <row r="23" spans="1:2" ht="22.5" customHeight="1">
      <c r="A23" s="51" t="s">
        <v>159</v>
      </c>
      <c r="B23" s="9" t="s">
        <v>256</v>
      </c>
    </row>
    <row r="24" spans="1:2" ht="22.5" customHeight="1">
      <c r="A24" s="52"/>
      <c r="B24" s="46">
        <v>2</v>
      </c>
    </row>
    <row r="25" spans="1:2" ht="22.5" customHeight="1">
      <c r="A25" s="51" t="s">
        <v>173</v>
      </c>
      <c r="B25" s="9" t="s">
        <v>256</v>
      </c>
    </row>
    <row r="26" spans="1:2" ht="22.5" customHeight="1">
      <c r="A26" s="52"/>
      <c r="B26" s="46">
        <v>6</v>
      </c>
    </row>
    <row r="27" spans="1:2" ht="22.5" customHeight="1">
      <c r="A27" s="51" t="s">
        <v>181</v>
      </c>
      <c r="B27" s="9" t="s">
        <v>256</v>
      </c>
    </row>
    <row r="28" spans="1:2" ht="22.5" customHeight="1">
      <c r="A28" s="52"/>
      <c r="B28" s="46">
        <v>12</v>
      </c>
    </row>
    <row r="29" spans="1:2" ht="22.5" customHeight="1">
      <c r="A29" s="51" t="s">
        <v>186</v>
      </c>
      <c r="B29" s="9" t="s">
        <v>256</v>
      </c>
    </row>
    <row r="30" spans="1:2" ht="22.5" customHeight="1">
      <c r="A30" s="52"/>
      <c r="B30" s="46">
        <v>5.5</v>
      </c>
    </row>
    <row r="31" spans="1:2" ht="28.5" customHeight="1">
      <c r="A31" s="48" t="s">
        <v>194</v>
      </c>
      <c r="B31" s="49"/>
    </row>
    <row r="32" spans="1:2" ht="22.5" customHeight="1">
      <c r="A32" s="51" t="s">
        <v>195</v>
      </c>
      <c r="B32" s="9" t="s">
        <v>256</v>
      </c>
    </row>
    <row r="33" spans="1:2" ht="22.5" customHeight="1">
      <c r="A33" s="52"/>
      <c r="B33" s="46">
        <v>4</v>
      </c>
    </row>
    <row r="34" spans="1:2" ht="22.5" customHeight="1">
      <c r="A34" s="51" t="s">
        <v>207</v>
      </c>
      <c r="B34" s="9" t="s">
        <v>256</v>
      </c>
    </row>
    <row r="35" spans="1:2" ht="22.5" customHeight="1">
      <c r="A35" s="52"/>
      <c r="B35" s="46">
        <v>7</v>
      </c>
    </row>
    <row r="36" spans="1:2" ht="22.5" customHeight="1">
      <c r="A36" s="51" t="s">
        <v>214</v>
      </c>
      <c r="B36" s="9" t="s">
        <v>256</v>
      </c>
    </row>
    <row r="37" spans="1:2" ht="22.5" customHeight="1">
      <c r="A37" s="52"/>
      <c r="B37" s="46">
        <v>7</v>
      </c>
    </row>
    <row r="38" spans="1:2" ht="22.5" customHeight="1">
      <c r="A38" s="51" t="s">
        <v>220</v>
      </c>
      <c r="B38" s="9" t="s">
        <v>256</v>
      </c>
    </row>
    <row r="39" spans="1:2" ht="22.5" customHeight="1">
      <c r="A39" s="52"/>
      <c r="B39" s="46">
        <v>4</v>
      </c>
    </row>
    <row r="40" spans="1:2" ht="22.5" customHeight="1">
      <c r="A40" s="51" t="s">
        <v>224</v>
      </c>
      <c r="B40" s="9" t="s">
        <v>256</v>
      </c>
    </row>
    <row r="41" spans="1:2" ht="22.5" customHeight="1">
      <c r="A41" s="52"/>
      <c r="B41" s="46">
        <v>0</v>
      </c>
    </row>
    <row r="42" spans="1:2" ht="22.5" customHeight="1">
      <c r="A42" s="51" t="s">
        <v>231</v>
      </c>
      <c r="B42" s="9" t="s">
        <v>256</v>
      </c>
    </row>
    <row r="43" spans="1:2" ht="22.5" customHeight="1">
      <c r="A43" s="52"/>
      <c r="B43" s="46">
        <v>4</v>
      </c>
    </row>
    <row r="44" spans="1:2" ht="22.5" customHeight="1">
      <c r="A44" s="51" t="s">
        <v>243</v>
      </c>
      <c r="B44" s="9" t="s">
        <v>256</v>
      </c>
    </row>
    <row r="45" spans="1:2" ht="22.5" customHeight="1">
      <c r="A45" s="52"/>
      <c r="B45" s="46">
        <v>8</v>
      </c>
    </row>
    <row r="46" spans="1:2" ht="22.5" customHeight="1">
      <c r="A46" s="51" t="s">
        <v>252</v>
      </c>
      <c r="B46" s="9" t="s">
        <v>256</v>
      </c>
    </row>
    <row r="47" spans="1:2" ht="22.5" customHeight="1">
      <c r="A47" s="52"/>
      <c r="B47" s="46">
        <v>0</v>
      </c>
    </row>
    <row r="48" spans="1:2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</sheetData>
  <mergeCells count="25">
    <mergeCell ref="A46:A47"/>
    <mergeCell ref="A34:A35"/>
    <mergeCell ref="A36:A37"/>
    <mergeCell ref="A38:A39"/>
    <mergeCell ref="A40:A41"/>
    <mergeCell ref="A42:A43"/>
    <mergeCell ref="A44:A45"/>
    <mergeCell ref="A32:A33"/>
    <mergeCell ref="A12:A13"/>
    <mergeCell ref="A14:A15"/>
    <mergeCell ref="A16:A17"/>
    <mergeCell ref="A18:B18"/>
    <mergeCell ref="A19:A20"/>
    <mergeCell ref="A21:A22"/>
    <mergeCell ref="A23:A24"/>
    <mergeCell ref="A25:A26"/>
    <mergeCell ref="A27:A28"/>
    <mergeCell ref="A29:A30"/>
    <mergeCell ref="A31:B31"/>
    <mergeCell ref="A10:A11"/>
    <mergeCell ref="A1:B1"/>
    <mergeCell ref="A2:A3"/>
    <mergeCell ref="A4:A5"/>
    <mergeCell ref="A6:A7"/>
    <mergeCell ref="A8:A9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37E1-9C28-44DD-8FDB-5C505DD7BF01}">
  <dimension ref="A1:B199"/>
  <sheetViews>
    <sheetView workbookViewId="0">
      <selection sqref="A1:B1"/>
    </sheetView>
  </sheetViews>
  <sheetFormatPr defaultColWidth="12.9140625" defaultRowHeight="13"/>
  <cols>
    <col min="1" max="1" width="22.6640625" style="3" customWidth="1"/>
    <col min="2" max="26" width="12.58203125" style="3" customWidth="1"/>
    <col min="27" max="16384" width="12.9140625" style="3"/>
  </cols>
  <sheetData>
    <row r="1" spans="1:2" ht="30" customHeight="1">
      <c r="A1" s="48" t="s">
        <v>1</v>
      </c>
      <c r="B1" s="49"/>
    </row>
    <row r="2" spans="1:2" ht="22.5" customHeight="1">
      <c r="A2" s="51" t="s">
        <v>3</v>
      </c>
      <c r="B2" s="9" t="s">
        <v>256</v>
      </c>
    </row>
    <row r="3" spans="1:2" ht="22.5" customHeight="1">
      <c r="A3" s="52"/>
    </row>
    <row r="4" spans="1:2" ht="22.5" customHeight="1">
      <c r="A4" s="51" t="s">
        <v>26</v>
      </c>
      <c r="B4" s="9" t="s">
        <v>256</v>
      </c>
    </row>
    <row r="5" spans="1:2" ht="22.5" customHeight="1">
      <c r="A5" s="52"/>
    </row>
    <row r="6" spans="1:2" ht="22.5" customHeight="1">
      <c r="A6" s="51" t="s">
        <v>46</v>
      </c>
      <c r="B6" s="9" t="s">
        <v>256</v>
      </c>
    </row>
    <row r="7" spans="1:2" ht="22.5" customHeight="1">
      <c r="A7" s="52"/>
    </row>
    <row r="8" spans="1:2" ht="22.5" customHeight="1">
      <c r="A8" s="51" t="s">
        <v>58</v>
      </c>
      <c r="B8" s="9" t="s">
        <v>256</v>
      </c>
    </row>
    <row r="9" spans="1:2" ht="22.5" customHeight="1">
      <c r="A9" s="52"/>
    </row>
    <row r="10" spans="1:2" ht="22.5" customHeight="1">
      <c r="A10" s="51" t="s">
        <v>79</v>
      </c>
      <c r="B10" s="9" t="s">
        <v>256</v>
      </c>
    </row>
    <row r="11" spans="1:2" ht="22.5" customHeight="1">
      <c r="A11" s="52"/>
    </row>
    <row r="12" spans="1:2" ht="22.5" customHeight="1">
      <c r="A12" s="51" t="s">
        <v>94</v>
      </c>
      <c r="B12" s="9" t="s">
        <v>256</v>
      </c>
    </row>
    <row r="13" spans="1:2" ht="22.5" customHeight="1">
      <c r="A13" s="52"/>
    </row>
    <row r="14" spans="1:2" ht="22.5" customHeight="1">
      <c r="A14" s="51" t="s">
        <v>107</v>
      </c>
      <c r="B14" s="9" t="s">
        <v>256</v>
      </c>
    </row>
    <row r="15" spans="1:2" ht="22.5" customHeight="1">
      <c r="A15" s="52"/>
    </row>
    <row r="16" spans="1:2" ht="22.5" customHeight="1">
      <c r="A16" s="51" t="s">
        <v>125</v>
      </c>
      <c r="B16" s="9" t="s">
        <v>256</v>
      </c>
    </row>
    <row r="17" spans="1:2" ht="22.5" customHeight="1">
      <c r="A17" s="52"/>
    </row>
    <row r="18" spans="1:2" ht="27" customHeight="1">
      <c r="A18" s="48" t="s">
        <v>140</v>
      </c>
      <c r="B18" s="49"/>
    </row>
    <row r="19" spans="1:2" ht="22.5" customHeight="1">
      <c r="A19" s="51" t="s">
        <v>141</v>
      </c>
      <c r="B19" s="9" t="s">
        <v>256</v>
      </c>
    </row>
    <row r="20" spans="1:2" ht="22.5" customHeight="1">
      <c r="A20" s="52"/>
    </row>
    <row r="21" spans="1:2" ht="22.5" customHeight="1">
      <c r="A21" s="51" t="s">
        <v>144</v>
      </c>
      <c r="B21" s="9" t="s">
        <v>256</v>
      </c>
    </row>
    <row r="22" spans="1:2" ht="22.5" customHeight="1">
      <c r="A22" s="52"/>
    </row>
    <row r="23" spans="1:2" ht="22.5" customHeight="1">
      <c r="A23" s="51" t="s">
        <v>159</v>
      </c>
      <c r="B23" s="9" t="s">
        <v>256</v>
      </c>
    </row>
    <row r="24" spans="1:2" ht="22.5" customHeight="1">
      <c r="A24" s="52"/>
    </row>
    <row r="25" spans="1:2" ht="22.5" customHeight="1">
      <c r="A25" s="51" t="s">
        <v>173</v>
      </c>
      <c r="B25" s="9" t="s">
        <v>256</v>
      </c>
    </row>
    <row r="26" spans="1:2" ht="22.5" customHeight="1">
      <c r="A26" s="52"/>
    </row>
    <row r="27" spans="1:2" ht="22.5" customHeight="1">
      <c r="A27" s="51" t="s">
        <v>181</v>
      </c>
      <c r="B27" s="9" t="s">
        <v>256</v>
      </c>
    </row>
    <row r="28" spans="1:2" ht="22.5" customHeight="1">
      <c r="A28" s="52"/>
    </row>
    <row r="29" spans="1:2" ht="22.5" customHeight="1">
      <c r="A29" s="51" t="s">
        <v>186</v>
      </c>
      <c r="B29" s="9" t="s">
        <v>256</v>
      </c>
    </row>
    <row r="30" spans="1:2" ht="22.5" customHeight="1">
      <c r="A30" s="52"/>
    </row>
    <row r="31" spans="1:2" ht="28.5" customHeight="1">
      <c r="A31" s="48" t="s">
        <v>194</v>
      </c>
      <c r="B31" s="49"/>
    </row>
    <row r="32" spans="1:2" ht="22.5" customHeight="1">
      <c r="A32" s="51" t="s">
        <v>195</v>
      </c>
      <c r="B32" s="9" t="s">
        <v>256</v>
      </c>
    </row>
    <row r="33" spans="1:2" ht="22.5" customHeight="1">
      <c r="A33" s="52"/>
    </row>
    <row r="34" spans="1:2" ht="22.5" customHeight="1">
      <c r="A34" s="51" t="s">
        <v>207</v>
      </c>
      <c r="B34" s="9" t="s">
        <v>256</v>
      </c>
    </row>
    <row r="35" spans="1:2" ht="22.5" customHeight="1">
      <c r="A35" s="52"/>
    </row>
    <row r="36" spans="1:2" ht="22.5" customHeight="1">
      <c r="A36" s="51" t="s">
        <v>214</v>
      </c>
      <c r="B36" s="9" t="s">
        <v>256</v>
      </c>
    </row>
    <row r="37" spans="1:2" ht="22.5" customHeight="1">
      <c r="A37" s="52"/>
    </row>
    <row r="38" spans="1:2" ht="22.5" customHeight="1">
      <c r="A38" s="51" t="s">
        <v>220</v>
      </c>
      <c r="B38" s="9" t="s">
        <v>256</v>
      </c>
    </row>
    <row r="39" spans="1:2" ht="22.5" customHeight="1">
      <c r="A39" s="52"/>
    </row>
    <row r="40" spans="1:2" ht="22.5" customHeight="1">
      <c r="A40" s="51" t="s">
        <v>224</v>
      </c>
      <c r="B40" s="9" t="s">
        <v>256</v>
      </c>
    </row>
    <row r="41" spans="1:2" ht="22.5" customHeight="1">
      <c r="A41" s="52"/>
    </row>
    <row r="42" spans="1:2" ht="22.5" customHeight="1">
      <c r="A42" s="51" t="s">
        <v>231</v>
      </c>
      <c r="B42" s="9" t="s">
        <v>256</v>
      </c>
    </row>
    <row r="43" spans="1:2" ht="22.5" customHeight="1">
      <c r="A43" s="52"/>
      <c r="B43" s="14"/>
    </row>
    <row r="44" spans="1:2" ht="22.5" customHeight="1">
      <c r="A44" s="51" t="s">
        <v>243</v>
      </c>
      <c r="B44" s="9" t="s">
        <v>256</v>
      </c>
    </row>
    <row r="45" spans="1:2" ht="22.5" customHeight="1">
      <c r="A45" s="52"/>
    </row>
    <row r="46" spans="1:2" ht="22.5" customHeight="1">
      <c r="A46" s="51" t="s">
        <v>252</v>
      </c>
      <c r="B46" s="9" t="s">
        <v>256</v>
      </c>
    </row>
    <row r="47" spans="1:2" ht="22.5" customHeight="1">
      <c r="A47" s="52"/>
    </row>
    <row r="48" spans="1:2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</sheetData>
  <mergeCells count="25">
    <mergeCell ref="A46:A47"/>
    <mergeCell ref="A34:A35"/>
    <mergeCell ref="A36:A37"/>
    <mergeCell ref="A38:A39"/>
    <mergeCell ref="A40:A41"/>
    <mergeCell ref="A42:A43"/>
    <mergeCell ref="A44:A45"/>
    <mergeCell ref="A32:A33"/>
    <mergeCell ref="A12:A13"/>
    <mergeCell ref="A14:A15"/>
    <mergeCell ref="A16:A17"/>
    <mergeCell ref="A18:B18"/>
    <mergeCell ref="A19:A20"/>
    <mergeCell ref="A21:A22"/>
    <mergeCell ref="A23:A24"/>
    <mergeCell ref="A25:A26"/>
    <mergeCell ref="A27:A28"/>
    <mergeCell ref="A29:A30"/>
    <mergeCell ref="A31:B31"/>
    <mergeCell ref="A10:A11"/>
    <mergeCell ref="A1:B1"/>
    <mergeCell ref="A2:A3"/>
    <mergeCell ref="A4:A5"/>
    <mergeCell ref="A6:A7"/>
    <mergeCell ref="A8:A9"/>
  </mergeCells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41948-3DE5-44A8-8DCD-D877F08DBB9E}">
  <dimension ref="A1:C38"/>
  <sheetViews>
    <sheetView workbookViewId="0">
      <pane ySplit="1" topLeftCell="A2" activePane="bottomLeft" state="frozen"/>
      <selection pane="bottomLeft" activeCell="F13" sqref="F13"/>
    </sheetView>
  </sheetViews>
  <sheetFormatPr defaultRowHeight="16.5"/>
  <cols>
    <col min="1" max="1" width="15.1640625" style="16" customWidth="1"/>
    <col min="2" max="2" width="67.1640625" style="16" customWidth="1"/>
    <col min="3" max="3" width="13" style="16" customWidth="1"/>
    <col min="4" max="16384" width="8.6640625" style="16"/>
  </cols>
  <sheetData>
    <row r="1" spans="1:3" ht="30" customHeight="1">
      <c r="A1" s="15" t="s">
        <v>257</v>
      </c>
      <c r="B1" s="15" t="s">
        <v>258</v>
      </c>
      <c r="C1" s="15" t="s">
        <v>259</v>
      </c>
    </row>
    <row r="2" spans="1:3" ht="27" customHeight="1">
      <c r="A2" s="17" t="s">
        <v>260</v>
      </c>
      <c r="B2" s="18" t="s">
        <v>3</v>
      </c>
      <c r="C2" s="19">
        <v>4</v>
      </c>
    </row>
    <row r="3" spans="1:3" ht="27" customHeight="1">
      <c r="A3" s="17" t="s">
        <v>261</v>
      </c>
      <c r="B3" s="18" t="s">
        <v>26</v>
      </c>
      <c r="C3" s="19">
        <v>4</v>
      </c>
    </row>
    <row r="4" spans="1:3" ht="27" customHeight="1">
      <c r="A4" s="17" t="s">
        <v>262</v>
      </c>
      <c r="B4" s="18" t="s">
        <v>79</v>
      </c>
      <c r="C4" s="19">
        <v>4</v>
      </c>
    </row>
    <row r="5" spans="1:3" ht="27" customHeight="1">
      <c r="A5" s="17" t="s">
        <v>263</v>
      </c>
      <c r="B5" s="18" t="s">
        <v>46</v>
      </c>
      <c r="C5" s="19">
        <v>4</v>
      </c>
    </row>
    <row r="6" spans="1:3" ht="27" customHeight="1">
      <c r="A6" s="17" t="s">
        <v>264</v>
      </c>
      <c r="B6" s="18" t="s">
        <v>144</v>
      </c>
      <c r="C6" s="19">
        <v>4</v>
      </c>
    </row>
    <row r="7" spans="1:3" ht="27" customHeight="1">
      <c r="A7" s="17" t="s">
        <v>265</v>
      </c>
      <c r="B7" s="18" t="s">
        <v>181</v>
      </c>
      <c r="C7" s="19">
        <v>4</v>
      </c>
    </row>
    <row r="8" spans="1:3" ht="27" customHeight="1">
      <c r="A8" s="17" t="s">
        <v>266</v>
      </c>
      <c r="B8" s="18" t="s">
        <v>195</v>
      </c>
      <c r="C8" s="19">
        <v>4</v>
      </c>
    </row>
    <row r="9" spans="1:3" ht="27" customHeight="1">
      <c r="A9" s="17" t="s">
        <v>267</v>
      </c>
      <c r="B9" s="18" t="s">
        <v>231</v>
      </c>
      <c r="C9" s="19">
        <v>4</v>
      </c>
    </row>
    <row r="10" spans="1:3" ht="27" customHeight="1">
      <c r="A10" s="17" t="s">
        <v>268</v>
      </c>
      <c r="B10" s="18" t="s">
        <v>26</v>
      </c>
      <c r="C10" s="19">
        <v>4</v>
      </c>
    </row>
    <row r="11" spans="1:3" ht="27" customHeight="1">
      <c r="A11" s="17" t="s">
        <v>269</v>
      </c>
      <c r="B11" s="18" t="s">
        <v>125</v>
      </c>
      <c r="C11" s="19">
        <v>4</v>
      </c>
    </row>
    <row r="12" spans="1:3" ht="27" customHeight="1">
      <c r="A12" s="17" t="s">
        <v>270</v>
      </c>
      <c r="B12" s="18" t="s">
        <v>94</v>
      </c>
      <c r="C12" s="19">
        <v>4</v>
      </c>
    </row>
    <row r="13" spans="1:3" ht="27" customHeight="1">
      <c r="A13" s="17" t="s">
        <v>271</v>
      </c>
      <c r="B13" s="18" t="s">
        <v>107</v>
      </c>
      <c r="C13" s="19">
        <v>4</v>
      </c>
    </row>
    <row r="14" spans="1:3" ht="27" customHeight="1">
      <c r="A14" s="17" t="s">
        <v>272</v>
      </c>
      <c r="B14" s="18" t="s">
        <v>273</v>
      </c>
      <c r="C14" s="19">
        <v>4</v>
      </c>
    </row>
    <row r="15" spans="1:3" ht="27" customHeight="1">
      <c r="A15" s="17" t="s">
        <v>274</v>
      </c>
      <c r="B15" s="18" t="s">
        <v>275</v>
      </c>
      <c r="C15" s="19">
        <v>4</v>
      </c>
    </row>
    <row r="16" spans="1:3" ht="27" customHeight="1">
      <c r="A16" s="17" t="s">
        <v>276</v>
      </c>
      <c r="B16" s="18" t="s">
        <v>79</v>
      </c>
      <c r="C16" s="19">
        <v>10</v>
      </c>
    </row>
    <row r="17" spans="1:3" ht="27" customHeight="1">
      <c r="A17" s="17" t="s">
        <v>277</v>
      </c>
      <c r="B17" s="18" t="s">
        <v>278</v>
      </c>
      <c r="C17" s="19">
        <v>10</v>
      </c>
    </row>
    <row r="18" spans="1:3" ht="27" customHeight="1">
      <c r="A18" s="17" t="s">
        <v>279</v>
      </c>
      <c r="B18" s="18" t="s">
        <v>26</v>
      </c>
      <c r="C18" s="19">
        <v>10</v>
      </c>
    </row>
    <row r="19" spans="1:3" ht="27" customHeight="1">
      <c r="A19" s="17" t="s">
        <v>280</v>
      </c>
      <c r="B19" s="18" t="s">
        <v>3</v>
      </c>
      <c r="C19" s="19">
        <v>3</v>
      </c>
    </row>
    <row r="20" spans="1:3" ht="27" customHeight="1">
      <c r="A20" s="17" t="s">
        <v>281</v>
      </c>
      <c r="B20" s="18" t="s">
        <v>26</v>
      </c>
      <c r="C20" s="19">
        <v>7</v>
      </c>
    </row>
    <row r="21" spans="1:3" ht="27" customHeight="1">
      <c r="A21" s="17" t="s">
        <v>282</v>
      </c>
      <c r="B21" s="18" t="s">
        <v>58</v>
      </c>
      <c r="C21" s="19">
        <v>3</v>
      </c>
    </row>
    <row r="22" spans="1:3" ht="27" customHeight="1">
      <c r="A22" s="17" t="s">
        <v>283</v>
      </c>
      <c r="B22" s="18" t="s">
        <v>94</v>
      </c>
      <c r="C22" s="19">
        <v>7</v>
      </c>
    </row>
    <row r="23" spans="1:3" ht="27" customHeight="1">
      <c r="A23" s="17" t="s">
        <v>284</v>
      </c>
      <c r="B23" s="18" t="s">
        <v>285</v>
      </c>
      <c r="C23" s="19">
        <v>5</v>
      </c>
    </row>
    <row r="24" spans="1:3" ht="27" customHeight="1">
      <c r="A24" s="17" t="s">
        <v>286</v>
      </c>
      <c r="B24" s="18" t="s">
        <v>173</v>
      </c>
      <c r="C24" s="19">
        <v>6</v>
      </c>
    </row>
    <row r="25" spans="1:3" ht="27" customHeight="1">
      <c r="A25" s="17" t="s">
        <v>287</v>
      </c>
      <c r="B25" s="18" t="s">
        <v>288</v>
      </c>
      <c r="C25" s="19">
        <v>11</v>
      </c>
    </row>
    <row r="26" spans="1:3" ht="27" customHeight="1">
      <c r="A26" s="17" t="s">
        <v>289</v>
      </c>
      <c r="B26" s="18" t="s">
        <v>275</v>
      </c>
      <c r="C26" s="19">
        <v>4</v>
      </c>
    </row>
    <row r="27" spans="1:3" ht="27" customHeight="1">
      <c r="A27" s="17" t="s">
        <v>290</v>
      </c>
      <c r="B27" s="18" t="s">
        <v>214</v>
      </c>
      <c r="C27" s="19">
        <v>7</v>
      </c>
    </row>
    <row r="28" spans="1:3" ht="27" customHeight="1">
      <c r="A28" s="17" t="s">
        <v>291</v>
      </c>
      <c r="B28" s="18" t="s">
        <v>207</v>
      </c>
      <c r="C28" s="19">
        <v>3</v>
      </c>
    </row>
    <row r="29" spans="1:3" ht="27" customHeight="1">
      <c r="A29" s="17" t="s">
        <v>292</v>
      </c>
      <c r="B29" s="18" t="s">
        <v>243</v>
      </c>
      <c r="C29" s="19">
        <v>4</v>
      </c>
    </row>
    <row r="30" spans="1:3" ht="27" customHeight="1">
      <c r="A30" s="17" t="s">
        <v>293</v>
      </c>
      <c r="B30" s="18" t="s">
        <v>243</v>
      </c>
      <c r="C30" s="19">
        <v>4</v>
      </c>
    </row>
    <row r="31" spans="1:3" ht="27" customHeight="1">
      <c r="A31" s="17"/>
      <c r="C31" s="19"/>
    </row>
    <row r="32" spans="1:3" ht="27" customHeight="1">
      <c r="A32" s="20" t="s">
        <v>294</v>
      </c>
      <c r="B32" s="21"/>
      <c r="C32" s="22">
        <f>SUM(C16:C30)</f>
        <v>94</v>
      </c>
    </row>
    <row r="33" spans="1:3" ht="27" customHeight="1">
      <c r="A33" s="23" t="s">
        <v>295</v>
      </c>
      <c r="B33" s="24"/>
      <c r="C33" s="25">
        <f>SUM(C2:C30)</f>
        <v>150</v>
      </c>
    </row>
    <row r="34" spans="1:3" ht="27" customHeight="1"/>
    <row r="35" spans="1:3" ht="27" customHeight="1">
      <c r="A35" s="60" t="s">
        <v>296</v>
      </c>
      <c r="B35" s="60"/>
      <c r="C35" s="60"/>
    </row>
    <row r="36" spans="1:3" ht="27" customHeight="1">
      <c r="A36" s="60"/>
      <c r="B36" s="60"/>
      <c r="C36" s="60"/>
    </row>
    <row r="37" spans="1:3" ht="27" customHeight="1">
      <c r="A37" s="60"/>
      <c r="B37" s="60"/>
      <c r="C37" s="60"/>
    </row>
    <row r="38" spans="1:3" ht="27" customHeight="1">
      <c r="A38" s="60"/>
      <c r="B38" s="60"/>
      <c r="C38" s="60"/>
    </row>
  </sheetData>
  <mergeCells count="1">
    <mergeCell ref="A35:C38"/>
  </mergeCells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B9FA2-A9EF-4284-B0EB-6478D8F312AE}">
  <dimension ref="A1:C37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5.1640625" style="16" customWidth="1"/>
    <col min="2" max="2" width="67.1640625" style="16" customWidth="1"/>
    <col min="3" max="3" width="13" style="16" customWidth="1"/>
    <col min="4" max="16384" width="8.6640625" style="16"/>
  </cols>
  <sheetData>
    <row r="1" spans="1:3" ht="30" customHeight="1">
      <c r="A1" s="15" t="s">
        <v>257</v>
      </c>
      <c r="B1" s="15" t="s">
        <v>258</v>
      </c>
      <c r="C1" s="15" t="s">
        <v>259</v>
      </c>
    </row>
    <row r="2" spans="1:3" ht="27" customHeight="1">
      <c r="A2" s="17" t="s">
        <v>260</v>
      </c>
      <c r="B2" s="18" t="s">
        <v>278</v>
      </c>
      <c r="C2" s="19">
        <v>4</v>
      </c>
    </row>
    <row r="3" spans="1:3" ht="27" customHeight="1">
      <c r="A3" s="17" t="s">
        <v>261</v>
      </c>
      <c r="B3" s="18" t="s">
        <v>297</v>
      </c>
      <c r="C3" s="19">
        <v>4</v>
      </c>
    </row>
    <row r="4" spans="1:3" ht="27" customHeight="1">
      <c r="A4" s="17" t="s">
        <v>262</v>
      </c>
      <c r="B4" s="18" t="s">
        <v>298</v>
      </c>
      <c r="C4" s="19">
        <v>4</v>
      </c>
    </row>
    <row r="5" spans="1:3" ht="27" customHeight="1">
      <c r="A5" s="17" t="s">
        <v>263</v>
      </c>
      <c r="B5" s="18" t="s">
        <v>107</v>
      </c>
      <c r="C5" s="19">
        <v>4</v>
      </c>
    </row>
    <row r="6" spans="1:3" ht="27" customHeight="1">
      <c r="A6" s="17" t="s">
        <v>264</v>
      </c>
      <c r="B6" s="18" t="s">
        <v>144</v>
      </c>
      <c r="C6" s="19">
        <v>4</v>
      </c>
    </row>
    <row r="7" spans="1:3" ht="27" customHeight="1">
      <c r="A7" s="17" t="s">
        <v>265</v>
      </c>
      <c r="B7" s="18" t="s">
        <v>299</v>
      </c>
      <c r="C7" s="19">
        <v>4</v>
      </c>
    </row>
    <row r="8" spans="1:3" ht="27" customHeight="1">
      <c r="A8" s="17" t="s">
        <v>266</v>
      </c>
      <c r="B8" s="18" t="s">
        <v>195</v>
      </c>
      <c r="C8" s="19">
        <v>4</v>
      </c>
    </row>
    <row r="9" spans="1:3" ht="27" customHeight="1">
      <c r="A9" s="17" t="s">
        <v>267</v>
      </c>
      <c r="B9" s="18" t="s">
        <v>224</v>
      </c>
      <c r="C9" s="19">
        <v>4</v>
      </c>
    </row>
    <row r="10" spans="1:3" ht="27" customHeight="1">
      <c r="A10" s="17" t="s">
        <v>268</v>
      </c>
      <c r="B10" s="18" t="s">
        <v>3</v>
      </c>
      <c r="C10" s="19">
        <v>4</v>
      </c>
    </row>
    <row r="11" spans="1:3" ht="27" customHeight="1">
      <c r="A11" s="17" t="s">
        <v>269</v>
      </c>
      <c r="B11" s="18" t="s">
        <v>26</v>
      </c>
      <c r="C11" s="19">
        <v>4</v>
      </c>
    </row>
    <row r="12" spans="1:3" ht="27" customHeight="1">
      <c r="A12" s="17" t="s">
        <v>270</v>
      </c>
      <c r="B12" s="18" t="s">
        <v>300</v>
      </c>
      <c r="C12" s="19">
        <v>4</v>
      </c>
    </row>
    <row r="13" spans="1:3" ht="27" customHeight="1">
      <c r="A13" s="17" t="s">
        <v>271</v>
      </c>
      <c r="B13" s="18" t="s">
        <v>301</v>
      </c>
      <c r="C13" s="19">
        <v>4</v>
      </c>
    </row>
    <row r="14" spans="1:3" ht="27" customHeight="1">
      <c r="A14" s="17" t="s">
        <v>272</v>
      </c>
      <c r="B14" s="18" t="s">
        <v>141</v>
      </c>
      <c r="C14" s="19">
        <v>4</v>
      </c>
    </row>
    <row r="15" spans="1:3" ht="27" customHeight="1">
      <c r="A15" s="17" t="s">
        <v>274</v>
      </c>
      <c r="B15" s="18" t="s">
        <v>220</v>
      </c>
      <c r="C15" s="19">
        <v>4</v>
      </c>
    </row>
    <row r="16" spans="1:3" ht="27" customHeight="1">
      <c r="A16" s="17" t="s">
        <v>276</v>
      </c>
      <c r="B16" s="18" t="s">
        <v>79</v>
      </c>
      <c r="C16" s="19">
        <v>10</v>
      </c>
    </row>
    <row r="17" spans="1:3" ht="27" customHeight="1">
      <c r="A17" s="17" t="s">
        <v>277</v>
      </c>
      <c r="B17" s="18" t="s">
        <v>94</v>
      </c>
      <c r="C17" s="19">
        <v>10</v>
      </c>
    </row>
    <row r="18" spans="1:3" ht="27" customHeight="1">
      <c r="A18" s="17" t="s">
        <v>279</v>
      </c>
      <c r="B18" s="18" t="s">
        <v>302</v>
      </c>
      <c r="C18" s="19">
        <v>10</v>
      </c>
    </row>
    <row r="19" spans="1:3" ht="27" customHeight="1">
      <c r="A19" s="17" t="s">
        <v>303</v>
      </c>
      <c r="B19" s="18" t="s">
        <v>94</v>
      </c>
      <c r="C19" s="19">
        <v>10</v>
      </c>
    </row>
    <row r="20" spans="1:3" ht="27" customHeight="1">
      <c r="A20" s="17" t="s">
        <v>304</v>
      </c>
      <c r="B20" s="18" t="s">
        <v>26</v>
      </c>
      <c r="C20" s="19">
        <v>5</v>
      </c>
    </row>
    <row r="21" spans="1:3" ht="27" customHeight="1">
      <c r="A21" s="17" t="s">
        <v>305</v>
      </c>
      <c r="B21" s="18" t="s">
        <v>26</v>
      </c>
      <c r="C21" s="19">
        <v>5</v>
      </c>
    </row>
    <row r="22" spans="1:3" ht="27" customHeight="1">
      <c r="A22" s="17" t="s">
        <v>306</v>
      </c>
      <c r="B22" s="18" t="s">
        <v>288</v>
      </c>
      <c r="C22" s="19">
        <v>4</v>
      </c>
    </row>
    <row r="23" spans="1:3" ht="27" customHeight="1">
      <c r="A23" s="17" t="s">
        <v>307</v>
      </c>
      <c r="B23" s="18" t="s">
        <v>288</v>
      </c>
      <c r="C23" s="19">
        <v>7</v>
      </c>
    </row>
    <row r="24" spans="1:3" ht="27" customHeight="1">
      <c r="A24" s="17" t="s">
        <v>308</v>
      </c>
      <c r="B24" s="18" t="s">
        <v>273</v>
      </c>
      <c r="C24" s="19">
        <v>4</v>
      </c>
    </row>
    <row r="25" spans="1:3" ht="27" customHeight="1">
      <c r="A25" s="17" t="s">
        <v>309</v>
      </c>
      <c r="B25" s="18" t="s">
        <v>181</v>
      </c>
      <c r="C25" s="19">
        <v>7</v>
      </c>
    </row>
    <row r="26" spans="1:3" ht="27" customHeight="1">
      <c r="A26" s="17" t="s">
        <v>310</v>
      </c>
      <c r="B26" s="18" t="s">
        <v>214</v>
      </c>
      <c r="C26" s="19">
        <v>7</v>
      </c>
    </row>
    <row r="27" spans="1:3" ht="27" customHeight="1">
      <c r="A27" s="17" t="s">
        <v>311</v>
      </c>
      <c r="B27" s="18" t="s">
        <v>214</v>
      </c>
      <c r="C27" s="19">
        <v>4</v>
      </c>
    </row>
    <row r="28" spans="1:3" ht="27" customHeight="1">
      <c r="A28" s="17" t="s">
        <v>291</v>
      </c>
      <c r="B28" s="18" t="s">
        <v>312</v>
      </c>
      <c r="C28" s="19">
        <v>4</v>
      </c>
    </row>
    <row r="29" spans="1:3" ht="27" customHeight="1">
      <c r="A29" s="17" t="s">
        <v>292</v>
      </c>
      <c r="B29" s="18" t="s">
        <v>243</v>
      </c>
      <c r="C29" s="19">
        <v>7</v>
      </c>
    </row>
    <row r="30" spans="1:3" ht="27" customHeight="1">
      <c r="A30" s="17"/>
      <c r="C30" s="19"/>
    </row>
    <row r="31" spans="1:3" ht="27" customHeight="1">
      <c r="A31" s="20" t="s">
        <v>294</v>
      </c>
      <c r="B31" s="21"/>
      <c r="C31" s="22">
        <f>SUM(C16:C29)</f>
        <v>94</v>
      </c>
    </row>
    <row r="32" spans="1:3" ht="27" customHeight="1">
      <c r="A32" s="23" t="s">
        <v>295</v>
      </c>
      <c r="B32" s="24"/>
      <c r="C32" s="25">
        <f>SUM(C2:C29)</f>
        <v>150</v>
      </c>
    </row>
    <row r="33" spans="1:3" ht="27" customHeight="1"/>
    <row r="34" spans="1:3" ht="27" customHeight="1">
      <c r="A34" s="60" t="s">
        <v>313</v>
      </c>
      <c r="B34" s="60"/>
      <c r="C34" s="60"/>
    </row>
    <row r="35" spans="1:3" ht="27" customHeight="1">
      <c r="A35" s="60"/>
      <c r="B35" s="60"/>
      <c r="C35" s="60"/>
    </row>
    <row r="36" spans="1:3" ht="27" customHeight="1">
      <c r="A36" s="60"/>
      <c r="B36" s="60"/>
      <c r="C36" s="60"/>
    </row>
    <row r="37" spans="1:3" ht="27" customHeight="1">
      <c r="A37" s="60"/>
      <c r="B37" s="60"/>
      <c r="C37" s="60"/>
    </row>
  </sheetData>
  <mergeCells count="1">
    <mergeCell ref="A34:C37"/>
  </mergeCells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25659-3C16-4173-875E-B455C0D63A07}">
  <dimension ref="A1:C33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5.1640625" style="16" customWidth="1"/>
    <col min="2" max="2" width="67.1640625" style="16" customWidth="1"/>
    <col min="3" max="3" width="13" style="16" customWidth="1"/>
    <col min="4" max="16384" width="8.6640625" style="16"/>
  </cols>
  <sheetData>
    <row r="1" spans="1:3" ht="30" customHeight="1">
      <c r="A1" s="15" t="s">
        <v>257</v>
      </c>
      <c r="B1" s="15" t="s">
        <v>258</v>
      </c>
      <c r="C1" s="15" t="s">
        <v>259</v>
      </c>
    </row>
    <row r="2" spans="1:3" ht="27" customHeight="1">
      <c r="A2" s="17" t="s">
        <v>260</v>
      </c>
      <c r="B2" s="18" t="s">
        <v>297</v>
      </c>
      <c r="C2" s="19">
        <v>5</v>
      </c>
    </row>
    <row r="3" spans="1:3" ht="27" customHeight="1">
      <c r="A3" s="17" t="s">
        <v>261</v>
      </c>
      <c r="B3" s="18" t="s">
        <v>79</v>
      </c>
      <c r="C3" s="19">
        <v>5</v>
      </c>
    </row>
    <row r="4" spans="1:3" ht="27" customHeight="1">
      <c r="A4" s="17" t="s">
        <v>262</v>
      </c>
      <c r="B4" s="18" t="s">
        <v>26</v>
      </c>
      <c r="C4" s="19">
        <v>5</v>
      </c>
    </row>
    <row r="5" spans="1:3" ht="27" customHeight="1">
      <c r="A5" s="17" t="s">
        <v>263</v>
      </c>
      <c r="B5" s="18" t="s">
        <v>46</v>
      </c>
      <c r="C5" s="19">
        <v>5</v>
      </c>
    </row>
    <row r="6" spans="1:3" ht="27" customHeight="1">
      <c r="A6" s="17" t="s">
        <v>264</v>
      </c>
      <c r="B6" s="18" t="s">
        <v>186</v>
      </c>
      <c r="C6" s="19">
        <v>5</v>
      </c>
    </row>
    <row r="7" spans="1:3" ht="27" customHeight="1">
      <c r="A7" s="17" t="s">
        <v>265</v>
      </c>
      <c r="B7" s="18" t="s">
        <v>159</v>
      </c>
      <c r="C7" s="19">
        <v>5</v>
      </c>
    </row>
    <row r="8" spans="1:3" ht="27" customHeight="1">
      <c r="A8" s="17" t="s">
        <v>266</v>
      </c>
      <c r="B8" s="18" t="s">
        <v>144</v>
      </c>
      <c r="C8" s="19">
        <v>5</v>
      </c>
    </row>
    <row r="9" spans="1:3" ht="27" customHeight="1">
      <c r="A9" s="17" t="s">
        <v>267</v>
      </c>
      <c r="B9" s="18" t="s">
        <v>195</v>
      </c>
      <c r="C9" s="19">
        <v>5</v>
      </c>
    </row>
    <row r="10" spans="1:3" ht="27" customHeight="1">
      <c r="A10" s="17" t="s">
        <v>268</v>
      </c>
      <c r="B10" s="18" t="s">
        <v>314</v>
      </c>
      <c r="C10" s="19">
        <v>5</v>
      </c>
    </row>
    <row r="11" spans="1:3" ht="27" customHeight="1">
      <c r="A11" s="17" t="s">
        <v>269</v>
      </c>
      <c r="B11" s="18" t="s">
        <v>315</v>
      </c>
      <c r="C11" s="19">
        <v>5</v>
      </c>
    </row>
    <row r="12" spans="1:3" ht="27" customHeight="1">
      <c r="A12" s="17" t="s">
        <v>270</v>
      </c>
      <c r="B12" s="18" t="s">
        <v>46</v>
      </c>
      <c r="C12" s="19">
        <v>5</v>
      </c>
    </row>
    <row r="13" spans="1:3" ht="27" customHeight="1">
      <c r="A13" s="17" t="s">
        <v>271</v>
      </c>
      <c r="B13" s="18" t="s">
        <v>26</v>
      </c>
      <c r="C13" s="19">
        <v>5</v>
      </c>
    </row>
    <row r="14" spans="1:3" ht="27" customHeight="1">
      <c r="A14" s="17" t="s">
        <v>272</v>
      </c>
      <c r="B14" s="18" t="s">
        <v>125</v>
      </c>
      <c r="C14" s="19">
        <v>5</v>
      </c>
    </row>
    <row r="15" spans="1:3" ht="27" customHeight="1">
      <c r="A15" s="17" t="s">
        <v>274</v>
      </c>
      <c r="B15" s="18" t="s">
        <v>94</v>
      </c>
      <c r="C15" s="19">
        <v>5</v>
      </c>
    </row>
    <row r="16" spans="1:3" ht="27" customHeight="1">
      <c r="A16" s="17" t="s">
        <v>276</v>
      </c>
      <c r="B16" s="18" t="s">
        <v>316</v>
      </c>
      <c r="C16" s="19">
        <v>5</v>
      </c>
    </row>
    <row r="17" spans="1:3" ht="27" customHeight="1">
      <c r="A17" s="17" t="s">
        <v>277</v>
      </c>
      <c r="B17" s="18" t="s">
        <v>317</v>
      </c>
      <c r="C17" s="19">
        <v>5</v>
      </c>
    </row>
    <row r="18" spans="1:3" ht="27" customHeight="1">
      <c r="A18" s="17" t="s">
        <v>279</v>
      </c>
      <c r="B18" s="18" t="s">
        <v>297</v>
      </c>
      <c r="C18" s="19">
        <v>10</v>
      </c>
    </row>
    <row r="19" spans="1:3" ht="27" customHeight="1">
      <c r="A19" s="17" t="s">
        <v>303</v>
      </c>
      <c r="B19" s="18" t="s">
        <v>107</v>
      </c>
      <c r="C19" s="19">
        <v>12</v>
      </c>
    </row>
    <row r="20" spans="1:3" ht="27" customHeight="1">
      <c r="A20" s="17" t="s">
        <v>318</v>
      </c>
      <c r="B20" s="18" t="s">
        <v>298</v>
      </c>
      <c r="C20" s="19">
        <v>12</v>
      </c>
    </row>
    <row r="21" spans="1:3" ht="27" customHeight="1">
      <c r="A21" s="17" t="s">
        <v>284</v>
      </c>
      <c r="B21" s="18" t="s">
        <v>94</v>
      </c>
      <c r="C21" s="19">
        <v>5</v>
      </c>
    </row>
    <row r="22" spans="1:3" ht="27" customHeight="1">
      <c r="A22" s="17" t="s">
        <v>286</v>
      </c>
      <c r="B22" s="18" t="s">
        <v>94</v>
      </c>
      <c r="C22" s="19">
        <v>7</v>
      </c>
    </row>
    <row r="23" spans="1:3" ht="27" customHeight="1">
      <c r="A23" s="17" t="s">
        <v>319</v>
      </c>
      <c r="B23" s="18" t="s">
        <v>181</v>
      </c>
      <c r="C23" s="19">
        <v>6</v>
      </c>
    </row>
    <row r="24" spans="1:3" ht="27" customHeight="1">
      <c r="A24" s="17" t="s">
        <v>320</v>
      </c>
      <c r="B24" s="18" t="s">
        <v>321</v>
      </c>
      <c r="C24" s="19">
        <v>6</v>
      </c>
    </row>
    <row r="25" spans="1:3" ht="27" customHeight="1">
      <c r="A25" s="17" t="s">
        <v>289</v>
      </c>
      <c r="B25" s="18" t="s">
        <v>207</v>
      </c>
      <c r="C25" s="19">
        <v>4</v>
      </c>
    </row>
    <row r="26" spans="1:3" ht="27" customHeight="1">
      <c r="A26" s="17" t="s">
        <v>290</v>
      </c>
      <c r="B26" s="18" t="s">
        <v>207</v>
      </c>
      <c r="C26" s="19">
        <v>4</v>
      </c>
    </row>
    <row r="27" spans="1:3" ht="27" customHeight="1">
      <c r="A27" s="17" t="s">
        <v>322</v>
      </c>
      <c r="B27" s="18" t="s">
        <v>220</v>
      </c>
      <c r="C27" s="19">
        <v>4</v>
      </c>
    </row>
    <row r="28" spans="1:3" ht="27" customHeight="1">
      <c r="A28" s="17"/>
      <c r="C28" s="19"/>
    </row>
    <row r="29" spans="1:3" ht="27" customHeight="1">
      <c r="A29" s="20" t="s">
        <v>294</v>
      </c>
      <c r="B29" s="21"/>
      <c r="C29" s="22">
        <f>SUM(C18:C27)</f>
        <v>70</v>
      </c>
    </row>
    <row r="30" spans="1:3" ht="27" customHeight="1">
      <c r="A30" s="23" t="s">
        <v>295</v>
      </c>
      <c r="B30" s="24"/>
      <c r="C30" s="25">
        <f>SUM(C2:C27)</f>
        <v>150</v>
      </c>
    </row>
    <row r="31" spans="1:3" ht="27" customHeight="1"/>
    <row r="32" spans="1:3" ht="27" customHeight="1">
      <c r="A32" s="60" t="s">
        <v>323</v>
      </c>
      <c r="B32" s="60"/>
      <c r="C32" s="60"/>
    </row>
    <row r="33" spans="1:3" ht="27" customHeight="1">
      <c r="A33" s="60"/>
      <c r="B33" s="60"/>
      <c r="C33" s="60"/>
    </row>
  </sheetData>
  <mergeCells count="1">
    <mergeCell ref="A32:C33"/>
  </mergeCells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E7802-6DF1-4FB5-A1F5-851E79A3661B}">
  <dimension ref="A1:C32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5.1640625" style="16" customWidth="1"/>
    <col min="2" max="2" width="67.1640625" style="16" customWidth="1"/>
    <col min="3" max="3" width="13" style="16" customWidth="1"/>
    <col min="4" max="16384" width="8.6640625" style="16"/>
  </cols>
  <sheetData>
    <row r="1" spans="1:3" ht="30" customHeight="1">
      <c r="A1" s="15" t="s">
        <v>257</v>
      </c>
      <c r="B1" s="15" t="s">
        <v>258</v>
      </c>
      <c r="C1" s="15" t="s">
        <v>259</v>
      </c>
    </row>
    <row r="2" spans="1:3" ht="27" customHeight="1">
      <c r="A2" s="17" t="s">
        <v>260</v>
      </c>
      <c r="B2" s="18" t="s">
        <v>3</v>
      </c>
      <c r="C2" s="19">
        <v>5</v>
      </c>
    </row>
    <row r="3" spans="1:3" ht="27" customHeight="1">
      <c r="A3" s="17" t="s">
        <v>261</v>
      </c>
      <c r="B3" s="18" t="s">
        <v>79</v>
      </c>
      <c r="C3" s="19">
        <v>5</v>
      </c>
    </row>
    <row r="4" spans="1:3" ht="27" customHeight="1">
      <c r="A4" s="17" t="s">
        <v>262</v>
      </c>
      <c r="B4" s="18" t="s">
        <v>3</v>
      </c>
      <c r="C4" s="19">
        <v>5</v>
      </c>
    </row>
    <row r="5" spans="1:3" ht="27" customHeight="1">
      <c r="A5" s="17" t="s">
        <v>263</v>
      </c>
      <c r="B5" s="18" t="s">
        <v>46</v>
      </c>
      <c r="C5" s="19">
        <v>5</v>
      </c>
    </row>
    <row r="6" spans="1:3" ht="27" customHeight="1">
      <c r="A6" s="17" t="s">
        <v>264</v>
      </c>
      <c r="B6" s="18" t="s">
        <v>181</v>
      </c>
      <c r="C6" s="19">
        <v>5</v>
      </c>
    </row>
    <row r="7" spans="1:3" ht="27" customHeight="1">
      <c r="A7" s="17" t="s">
        <v>265</v>
      </c>
      <c r="B7" s="18" t="s">
        <v>324</v>
      </c>
      <c r="C7" s="19">
        <v>5</v>
      </c>
    </row>
    <row r="8" spans="1:3" ht="27" customHeight="1">
      <c r="A8" s="17" t="s">
        <v>266</v>
      </c>
      <c r="B8" s="18" t="s">
        <v>159</v>
      </c>
      <c r="C8" s="19">
        <v>5</v>
      </c>
    </row>
    <row r="9" spans="1:3" ht="27" customHeight="1">
      <c r="A9" s="17" t="s">
        <v>267</v>
      </c>
      <c r="B9" s="18" t="s">
        <v>220</v>
      </c>
      <c r="C9" s="19">
        <v>5</v>
      </c>
    </row>
    <row r="10" spans="1:3" ht="27" customHeight="1">
      <c r="A10" s="17" t="s">
        <v>268</v>
      </c>
      <c r="B10" s="18" t="s">
        <v>325</v>
      </c>
      <c r="C10" s="19">
        <v>5</v>
      </c>
    </row>
    <row r="11" spans="1:3" ht="27" customHeight="1">
      <c r="A11" s="17" t="s">
        <v>269</v>
      </c>
      <c r="B11" s="18" t="s">
        <v>317</v>
      </c>
      <c r="C11" s="19">
        <v>5</v>
      </c>
    </row>
    <row r="12" spans="1:3" ht="27" customHeight="1">
      <c r="A12" s="17" t="s">
        <v>270</v>
      </c>
      <c r="B12" s="18" t="s">
        <v>79</v>
      </c>
      <c r="C12" s="19">
        <v>5</v>
      </c>
    </row>
    <row r="13" spans="1:3" ht="27" customHeight="1">
      <c r="A13" s="17" t="s">
        <v>271</v>
      </c>
      <c r="B13" s="18" t="s">
        <v>46</v>
      </c>
      <c r="C13" s="19">
        <v>5</v>
      </c>
    </row>
    <row r="14" spans="1:3" ht="27" customHeight="1">
      <c r="A14" s="17" t="s">
        <v>272</v>
      </c>
      <c r="B14" s="18" t="s">
        <v>79</v>
      </c>
      <c r="C14" s="19">
        <v>5</v>
      </c>
    </row>
    <row r="15" spans="1:3" ht="27" customHeight="1">
      <c r="A15" s="17" t="s">
        <v>274</v>
      </c>
      <c r="B15" s="18" t="s">
        <v>107</v>
      </c>
      <c r="C15" s="19">
        <v>5</v>
      </c>
    </row>
    <row r="16" spans="1:3" ht="27" customHeight="1">
      <c r="A16" s="17" t="s">
        <v>276</v>
      </c>
      <c r="B16" s="18" t="s">
        <v>144</v>
      </c>
      <c r="C16" s="19">
        <v>5</v>
      </c>
    </row>
    <row r="17" spans="1:3" ht="27" customHeight="1">
      <c r="A17" s="17" t="s">
        <v>277</v>
      </c>
      <c r="B17" s="18" t="s">
        <v>195</v>
      </c>
      <c r="C17" s="19">
        <v>5</v>
      </c>
    </row>
    <row r="18" spans="1:3" ht="27" customHeight="1">
      <c r="A18" s="17" t="s">
        <v>279</v>
      </c>
      <c r="B18" s="18" t="s">
        <v>326</v>
      </c>
      <c r="C18" s="19">
        <v>12</v>
      </c>
    </row>
    <row r="19" spans="1:3" ht="27" customHeight="1">
      <c r="A19" s="17" t="s">
        <v>303</v>
      </c>
      <c r="B19" s="18" t="s">
        <v>94</v>
      </c>
      <c r="C19" s="19">
        <v>12</v>
      </c>
    </row>
    <row r="20" spans="1:3" ht="27" customHeight="1">
      <c r="A20" s="17" t="s">
        <v>318</v>
      </c>
      <c r="B20" s="18" t="s">
        <v>94</v>
      </c>
      <c r="C20" s="19">
        <v>12</v>
      </c>
    </row>
    <row r="21" spans="1:3" ht="27" customHeight="1">
      <c r="A21" s="17" t="s">
        <v>327</v>
      </c>
      <c r="B21" s="18" t="s">
        <v>328</v>
      </c>
      <c r="C21" s="19">
        <v>12</v>
      </c>
    </row>
    <row r="22" spans="1:3" ht="27" customHeight="1">
      <c r="A22" s="17" t="s">
        <v>287</v>
      </c>
      <c r="B22" s="18" t="s">
        <v>186</v>
      </c>
      <c r="C22" s="19">
        <v>2</v>
      </c>
    </row>
    <row r="23" spans="1:3" ht="27" customHeight="1">
      <c r="A23" s="17" t="s">
        <v>329</v>
      </c>
      <c r="B23" s="18" t="s">
        <v>288</v>
      </c>
      <c r="C23" s="19">
        <v>6</v>
      </c>
    </row>
    <row r="24" spans="1:3" ht="27" customHeight="1">
      <c r="A24" s="17" t="s">
        <v>330</v>
      </c>
      <c r="B24" s="18" t="s">
        <v>331</v>
      </c>
      <c r="C24" s="19">
        <v>3</v>
      </c>
    </row>
    <row r="25" spans="1:3" ht="27" customHeight="1">
      <c r="A25" s="17" t="s">
        <v>332</v>
      </c>
      <c r="B25" s="18" t="s">
        <v>314</v>
      </c>
      <c r="C25" s="19">
        <v>11</v>
      </c>
    </row>
    <row r="26" spans="1:3" ht="27" customHeight="1">
      <c r="A26" s="17"/>
      <c r="C26" s="19"/>
    </row>
    <row r="27" spans="1:3" ht="27" customHeight="1">
      <c r="A27" s="20" t="s">
        <v>294</v>
      </c>
      <c r="B27" s="21"/>
      <c r="C27" s="22">
        <f>SUM(C18:C25)</f>
        <v>70</v>
      </c>
    </row>
    <row r="28" spans="1:3" ht="27" customHeight="1">
      <c r="A28" s="23" t="s">
        <v>295</v>
      </c>
      <c r="B28" s="24"/>
      <c r="C28" s="25">
        <f>SUM(C2:C25)</f>
        <v>150</v>
      </c>
    </row>
    <row r="29" spans="1:3" ht="27" customHeight="1"/>
    <row r="30" spans="1:3" ht="27" customHeight="1">
      <c r="A30" s="60" t="s">
        <v>333</v>
      </c>
      <c r="B30" s="60"/>
      <c r="C30" s="60"/>
    </row>
    <row r="31" spans="1:3" ht="27" customHeight="1">
      <c r="A31" s="60"/>
      <c r="B31" s="60"/>
      <c r="C31" s="60"/>
    </row>
    <row r="32" spans="1:3" ht="27" customHeight="1">
      <c r="A32" s="60"/>
      <c r="B32" s="60"/>
      <c r="C32" s="60"/>
    </row>
  </sheetData>
  <mergeCells count="1">
    <mergeCell ref="A30:C32"/>
  </mergeCells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FE18C-48FB-4600-B1A4-8D95DC98FF04}">
  <dimension ref="A1:C35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5.1640625" style="16" customWidth="1"/>
    <col min="2" max="2" width="67.1640625" style="16" customWidth="1"/>
    <col min="3" max="3" width="13" style="16" customWidth="1"/>
    <col min="4" max="16384" width="8.6640625" style="16"/>
  </cols>
  <sheetData>
    <row r="1" spans="1:3" ht="30" customHeight="1">
      <c r="A1" s="15" t="s">
        <v>257</v>
      </c>
      <c r="B1" s="15" t="s">
        <v>258</v>
      </c>
      <c r="C1" s="15" t="s">
        <v>259</v>
      </c>
    </row>
    <row r="2" spans="1:3" ht="27" customHeight="1">
      <c r="A2" s="17" t="s">
        <v>260</v>
      </c>
      <c r="B2" s="18" t="s">
        <v>334</v>
      </c>
      <c r="C2" s="19">
        <v>5</v>
      </c>
    </row>
    <row r="3" spans="1:3" ht="27" customHeight="1">
      <c r="A3" s="17" t="s">
        <v>261</v>
      </c>
      <c r="B3" s="18" t="s">
        <v>125</v>
      </c>
      <c r="C3" s="19">
        <v>5</v>
      </c>
    </row>
    <row r="4" spans="1:3" ht="27" customHeight="1">
      <c r="A4" s="17" t="s">
        <v>262</v>
      </c>
      <c r="B4" s="18" t="s">
        <v>334</v>
      </c>
      <c r="C4" s="19">
        <v>5</v>
      </c>
    </row>
    <row r="5" spans="1:3" ht="27" customHeight="1">
      <c r="A5" s="17" t="s">
        <v>263</v>
      </c>
      <c r="B5" s="18" t="s">
        <v>107</v>
      </c>
      <c r="C5" s="19">
        <v>5</v>
      </c>
    </row>
    <row r="6" spans="1:3" ht="27" customHeight="1">
      <c r="A6" s="17" t="s">
        <v>264</v>
      </c>
      <c r="B6" s="18" t="s">
        <v>144</v>
      </c>
      <c r="C6" s="19">
        <v>5</v>
      </c>
    </row>
    <row r="7" spans="1:3" ht="27" customHeight="1">
      <c r="A7" s="17" t="s">
        <v>265</v>
      </c>
      <c r="B7" s="18" t="s">
        <v>181</v>
      </c>
      <c r="C7" s="19">
        <v>5</v>
      </c>
    </row>
    <row r="8" spans="1:3" ht="27" customHeight="1">
      <c r="A8" s="17" t="s">
        <v>266</v>
      </c>
      <c r="B8" s="18" t="s">
        <v>335</v>
      </c>
      <c r="C8" s="19">
        <v>5</v>
      </c>
    </row>
    <row r="9" spans="1:3" ht="27" customHeight="1">
      <c r="A9" s="17" t="s">
        <v>267</v>
      </c>
      <c r="B9" s="18" t="s">
        <v>220</v>
      </c>
      <c r="C9" s="19">
        <v>5</v>
      </c>
    </row>
    <row r="10" spans="1:3" ht="27" customHeight="1">
      <c r="A10" s="17" t="s">
        <v>268</v>
      </c>
      <c r="B10" s="18" t="s">
        <v>231</v>
      </c>
      <c r="C10" s="19">
        <v>5</v>
      </c>
    </row>
    <row r="11" spans="1:3" ht="27" customHeight="1">
      <c r="A11" s="17" t="s">
        <v>269</v>
      </c>
      <c r="B11" s="18" t="s">
        <v>314</v>
      </c>
      <c r="C11" s="19">
        <v>5</v>
      </c>
    </row>
    <row r="12" spans="1:3" ht="27" customHeight="1">
      <c r="A12" s="17" t="s">
        <v>270</v>
      </c>
      <c r="B12" s="18" t="s">
        <v>297</v>
      </c>
      <c r="C12" s="19">
        <v>5</v>
      </c>
    </row>
    <row r="13" spans="1:3" ht="27" customHeight="1">
      <c r="A13" s="17" t="s">
        <v>271</v>
      </c>
      <c r="B13" s="18" t="s">
        <v>79</v>
      </c>
      <c r="C13" s="19">
        <v>5</v>
      </c>
    </row>
    <row r="14" spans="1:3" ht="27" customHeight="1">
      <c r="A14" s="17" t="s">
        <v>272</v>
      </c>
      <c r="B14" s="18" t="s">
        <v>107</v>
      </c>
      <c r="C14" s="19">
        <v>5</v>
      </c>
    </row>
    <row r="15" spans="1:3" ht="27" customHeight="1">
      <c r="A15" s="17" t="s">
        <v>274</v>
      </c>
      <c r="B15" s="18" t="s">
        <v>46</v>
      </c>
      <c r="C15" s="19">
        <v>5</v>
      </c>
    </row>
    <row r="16" spans="1:3" ht="27" customHeight="1">
      <c r="A16" s="17" t="s">
        <v>276</v>
      </c>
      <c r="B16" s="18" t="s">
        <v>159</v>
      </c>
      <c r="C16" s="19">
        <v>5</v>
      </c>
    </row>
    <row r="17" spans="1:3" ht="27" customHeight="1">
      <c r="A17" s="17" t="s">
        <v>277</v>
      </c>
      <c r="B17" s="18" t="s">
        <v>336</v>
      </c>
      <c r="C17" s="19">
        <v>5</v>
      </c>
    </row>
    <row r="18" spans="1:3" ht="27" customHeight="1">
      <c r="A18" s="17" t="s">
        <v>279</v>
      </c>
      <c r="B18" s="18" t="s">
        <v>326</v>
      </c>
      <c r="C18" s="19">
        <v>5</v>
      </c>
    </row>
    <row r="19" spans="1:3" ht="27" customHeight="1">
      <c r="A19" s="17" t="s">
        <v>303</v>
      </c>
      <c r="B19" s="18" t="s">
        <v>328</v>
      </c>
      <c r="C19" s="19">
        <v>7</v>
      </c>
    </row>
    <row r="20" spans="1:3" ht="27" customHeight="1">
      <c r="A20" s="17" t="s">
        <v>318</v>
      </c>
      <c r="B20" s="18" t="s">
        <v>79</v>
      </c>
      <c r="C20" s="19">
        <v>12</v>
      </c>
    </row>
    <row r="21" spans="1:3" ht="27" customHeight="1">
      <c r="A21" s="17" t="s">
        <v>327</v>
      </c>
      <c r="B21" s="18" t="s">
        <v>94</v>
      </c>
      <c r="C21" s="19">
        <v>12</v>
      </c>
    </row>
    <row r="22" spans="1:3" ht="27" customHeight="1">
      <c r="A22" s="17" t="s">
        <v>287</v>
      </c>
      <c r="B22" s="18" t="s">
        <v>26</v>
      </c>
      <c r="C22" s="19">
        <v>5</v>
      </c>
    </row>
    <row r="23" spans="1:3" ht="27" customHeight="1">
      <c r="A23" s="17" t="s">
        <v>329</v>
      </c>
      <c r="B23" s="18" t="s">
        <v>26</v>
      </c>
      <c r="C23" s="19">
        <v>7</v>
      </c>
    </row>
    <row r="24" spans="1:3" ht="27" customHeight="1">
      <c r="A24" s="17" t="s">
        <v>330</v>
      </c>
      <c r="B24" s="18" t="s">
        <v>186</v>
      </c>
      <c r="C24" s="19">
        <v>7</v>
      </c>
    </row>
    <row r="25" spans="1:3" ht="27" customHeight="1">
      <c r="A25" s="17" t="s">
        <v>332</v>
      </c>
      <c r="B25" s="18" t="s">
        <v>288</v>
      </c>
      <c r="C25" s="19">
        <v>4</v>
      </c>
    </row>
    <row r="26" spans="1:3" ht="27" customHeight="1">
      <c r="A26" s="17" t="s">
        <v>337</v>
      </c>
      <c r="B26" s="18" t="s">
        <v>317</v>
      </c>
      <c r="C26" s="19">
        <v>4</v>
      </c>
    </row>
    <row r="27" spans="1:3" ht="27" customHeight="1">
      <c r="A27" s="17" t="s">
        <v>338</v>
      </c>
      <c r="B27" s="18" t="s">
        <v>214</v>
      </c>
      <c r="C27" s="19">
        <v>3</v>
      </c>
    </row>
    <row r="28" spans="1:3" ht="27" customHeight="1">
      <c r="A28" s="17" t="s">
        <v>339</v>
      </c>
      <c r="B28" s="18" t="s">
        <v>214</v>
      </c>
      <c r="C28" s="19">
        <v>4</v>
      </c>
    </row>
    <row r="29" spans="1:3" ht="27" customHeight="1">
      <c r="A29" s="17"/>
      <c r="C29" s="19"/>
    </row>
    <row r="30" spans="1:3" ht="27" customHeight="1">
      <c r="A30" s="20" t="s">
        <v>294</v>
      </c>
      <c r="B30" s="21"/>
      <c r="C30" s="22">
        <f>SUM(C18:C28)</f>
        <v>70</v>
      </c>
    </row>
    <row r="31" spans="1:3" ht="27" customHeight="1">
      <c r="A31" s="23" t="s">
        <v>295</v>
      </c>
      <c r="B31" s="24"/>
      <c r="C31" s="25">
        <f>SUM(C2:C28)</f>
        <v>150</v>
      </c>
    </row>
    <row r="32" spans="1:3" ht="27" customHeight="1"/>
    <row r="33" spans="1:3" ht="27" customHeight="1">
      <c r="A33" s="60" t="s">
        <v>340</v>
      </c>
      <c r="B33" s="60"/>
      <c r="C33" s="60"/>
    </row>
    <row r="34" spans="1:3" ht="27" customHeight="1">
      <c r="A34" s="60"/>
      <c r="B34" s="60"/>
      <c r="C34" s="60"/>
    </row>
    <row r="35" spans="1:3" ht="27" customHeight="1">
      <c r="A35" s="60"/>
      <c r="B35" s="60"/>
      <c r="C35" s="60"/>
    </row>
  </sheetData>
  <mergeCells count="1">
    <mergeCell ref="A33:C35"/>
  </mergeCells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3AA6-8145-4014-A1A2-092233DBC28F}">
  <dimension ref="A1:C33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5.1640625" style="16" customWidth="1"/>
    <col min="2" max="2" width="67.1640625" style="16" customWidth="1"/>
    <col min="3" max="3" width="13" style="16" customWidth="1"/>
    <col min="4" max="16384" width="8.6640625" style="16"/>
  </cols>
  <sheetData>
    <row r="1" spans="1:3" ht="30" customHeight="1">
      <c r="A1" s="15" t="s">
        <v>257</v>
      </c>
      <c r="B1" s="15" t="s">
        <v>258</v>
      </c>
      <c r="C1" s="15" t="s">
        <v>259</v>
      </c>
    </row>
    <row r="2" spans="1:3" ht="27" customHeight="1">
      <c r="A2" s="17" t="s">
        <v>260</v>
      </c>
      <c r="B2" s="18" t="s">
        <v>341</v>
      </c>
      <c r="C2" s="19">
        <v>5</v>
      </c>
    </row>
    <row r="3" spans="1:3" ht="27" customHeight="1">
      <c r="A3" s="17" t="s">
        <v>261</v>
      </c>
      <c r="B3" s="18" t="s">
        <v>94</v>
      </c>
      <c r="C3" s="19">
        <v>5</v>
      </c>
    </row>
    <row r="4" spans="1:3" ht="27" customHeight="1">
      <c r="A4" s="17" t="s">
        <v>262</v>
      </c>
      <c r="B4" s="18" t="s">
        <v>107</v>
      </c>
      <c r="C4" s="19">
        <v>5</v>
      </c>
    </row>
    <row r="5" spans="1:3" ht="27" customHeight="1">
      <c r="A5" s="17" t="s">
        <v>263</v>
      </c>
      <c r="B5" s="18" t="s">
        <v>334</v>
      </c>
      <c r="C5" s="19">
        <v>5</v>
      </c>
    </row>
    <row r="6" spans="1:3" ht="27" customHeight="1">
      <c r="A6" s="17" t="s">
        <v>264</v>
      </c>
      <c r="B6" s="18" t="s">
        <v>324</v>
      </c>
      <c r="C6" s="19">
        <v>5</v>
      </c>
    </row>
    <row r="7" spans="1:3" ht="27" customHeight="1">
      <c r="A7" s="17" t="s">
        <v>265</v>
      </c>
      <c r="B7" s="18" t="s">
        <v>159</v>
      </c>
      <c r="C7" s="19">
        <v>5</v>
      </c>
    </row>
    <row r="8" spans="1:3" ht="27" customHeight="1">
      <c r="A8" s="17" t="s">
        <v>266</v>
      </c>
      <c r="B8" s="18" t="s">
        <v>181</v>
      </c>
      <c r="C8" s="19">
        <v>5</v>
      </c>
    </row>
    <row r="9" spans="1:3" ht="27" customHeight="1">
      <c r="A9" s="17" t="s">
        <v>267</v>
      </c>
      <c r="B9" s="18" t="s">
        <v>336</v>
      </c>
      <c r="C9" s="19">
        <v>5</v>
      </c>
    </row>
    <row r="10" spans="1:3" ht="27" customHeight="1">
      <c r="A10" s="17" t="s">
        <v>268</v>
      </c>
      <c r="B10" s="18" t="s">
        <v>317</v>
      </c>
      <c r="C10" s="19">
        <v>5</v>
      </c>
    </row>
    <row r="11" spans="1:3" ht="27" customHeight="1">
      <c r="A11" s="17" t="s">
        <v>269</v>
      </c>
      <c r="B11" s="18" t="s">
        <v>214</v>
      </c>
      <c r="C11" s="19">
        <v>5</v>
      </c>
    </row>
    <row r="12" spans="1:3" ht="27" customHeight="1">
      <c r="A12" s="17" t="s">
        <v>270</v>
      </c>
      <c r="B12" s="18" t="s">
        <v>3</v>
      </c>
      <c r="C12" s="19">
        <v>5</v>
      </c>
    </row>
    <row r="13" spans="1:3" ht="27" customHeight="1">
      <c r="A13" s="17" t="s">
        <v>271</v>
      </c>
      <c r="B13" s="18" t="s">
        <v>79</v>
      </c>
      <c r="C13" s="19">
        <v>5</v>
      </c>
    </row>
    <row r="14" spans="1:3" ht="27" customHeight="1">
      <c r="A14" s="17" t="s">
        <v>272</v>
      </c>
      <c r="B14" s="18" t="s">
        <v>342</v>
      </c>
      <c r="C14" s="19">
        <v>5</v>
      </c>
    </row>
    <row r="15" spans="1:3" ht="27" customHeight="1">
      <c r="A15" s="17" t="s">
        <v>274</v>
      </c>
      <c r="B15" s="18" t="s">
        <v>125</v>
      </c>
      <c r="C15" s="19">
        <v>5</v>
      </c>
    </row>
    <row r="16" spans="1:3" ht="27" customHeight="1">
      <c r="A16" s="17" t="s">
        <v>276</v>
      </c>
      <c r="B16" s="18" t="s">
        <v>186</v>
      </c>
      <c r="C16" s="19">
        <v>5</v>
      </c>
    </row>
    <row r="17" spans="1:3" ht="27" customHeight="1">
      <c r="A17" s="17" t="s">
        <v>277</v>
      </c>
      <c r="B17" s="18" t="s">
        <v>195</v>
      </c>
      <c r="C17" s="19">
        <v>5</v>
      </c>
    </row>
    <row r="18" spans="1:3" ht="27" customHeight="1">
      <c r="A18" s="17" t="s">
        <v>279</v>
      </c>
      <c r="B18" s="18" t="s">
        <v>94</v>
      </c>
      <c r="C18" s="19">
        <v>12</v>
      </c>
    </row>
    <row r="19" spans="1:3" ht="27" customHeight="1">
      <c r="A19" s="17" t="s">
        <v>303</v>
      </c>
      <c r="B19" s="18" t="s">
        <v>79</v>
      </c>
      <c r="C19" s="19">
        <v>4</v>
      </c>
    </row>
    <row r="20" spans="1:3" ht="27" customHeight="1">
      <c r="A20" s="17" t="s">
        <v>318</v>
      </c>
      <c r="B20" s="18" t="s">
        <v>79</v>
      </c>
      <c r="C20" s="19">
        <v>8</v>
      </c>
    </row>
    <row r="21" spans="1:3" ht="27" customHeight="1">
      <c r="A21" s="17" t="s">
        <v>327</v>
      </c>
      <c r="B21" s="18" t="s">
        <v>26</v>
      </c>
      <c r="C21" s="19">
        <v>8</v>
      </c>
    </row>
    <row r="22" spans="1:3" ht="27" customHeight="1">
      <c r="A22" s="17" t="s">
        <v>287</v>
      </c>
      <c r="B22" s="18" t="s">
        <v>343</v>
      </c>
      <c r="C22" s="19">
        <v>4</v>
      </c>
    </row>
    <row r="23" spans="1:3" ht="27" customHeight="1">
      <c r="A23" s="17" t="s">
        <v>329</v>
      </c>
      <c r="B23" s="18" t="s">
        <v>344</v>
      </c>
      <c r="C23" s="19">
        <v>12</v>
      </c>
    </row>
    <row r="24" spans="1:3" ht="27" customHeight="1">
      <c r="A24" s="17" t="s">
        <v>330</v>
      </c>
      <c r="B24" s="18" t="s">
        <v>285</v>
      </c>
      <c r="C24" s="19">
        <v>11</v>
      </c>
    </row>
    <row r="25" spans="1:3" ht="27" customHeight="1">
      <c r="A25" s="17" t="s">
        <v>332</v>
      </c>
      <c r="B25" s="18" t="s">
        <v>345</v>
      </c>
      <c r="C25" s="19">
        <v>6</v>
      </c>
    </row>
    <row r="26" spans="1:3" ht="27" customHeight="1">
      <c r="A26" s="17" t="s">
        <v>337</v>
      </c>
      <c r="B26" s="18" t="s">
        <v>314</v>
      </c>
      <c r="C26" s="19">
        <v>5</v>
      </c>
    </row>
    <row r="27" spans="1:3" ht="27" customHeight="1">
      <c r="A27" s="17"/>
      <c r="C27" s="19"/>
    </row>
    <row r="28" spans="1:3" ht="27" customHeight="1">
      <c r="A28" s="20" t="s">
        <v>294</v>
      </c>
      <c r="B28" s="21"/>
      <c r="C28" s="22">
        <f>SUM(C18:C26)</f>
        <v>70</v>
      </c>
    </row>
    <row r="29" spans="1:3" ht="27" customHeight="1">
      <c r="A29" s="23" t="s">
        <v>295</v>
      </c>
      <c r="B29" s="24"/>
      <c r="C29" s="25">
        <f>SUM(C2:C26)</f>
        <v>150</v>
      </c>
    </row>
    <row r="30" spans="1:3" ht="27" customHeight="1"/>
    <row r="31" spans="1:3" ht="27" customHeight="1">
      <c r="A31" s="60" t="s">
        <v>346</v>
      </c>
      <c r="B31" s="60"/>
      <c r="C31" s="60"/>
    </row>
    <row r="32" spans="1:3" ht="27" customHeight="1">
      <c r="A32" s="60"/>
      <c r="B32" s="60"/>
      <c r="C32" s="60"/>
    </row>
    <row r="33" spans="1:3" ht="27" customHeight="1">
      <c r="A33" s="60"/>
      <c r="B33" s="60"/>
      <c r="C33" s="60"/>
    </row>
  </sheetData>
  <mergeCells count="1">
    <mergeCell ref="A31:C33"/>
  </mergeCells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B8E5-D988-494B-9428-C5CBA3492B92}">
  <dimension ref="A1:C32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5.1640625" style="16" customWidth="1"/>
    <col min="2" max="2" width="67.1640625" style="16" customWidth="1"/>
    <col min="3" max="3" width="13" style="16" customWidth="1"/>
    <col min="4" max="16384" width="8.6640625" style="16"/>
  </cols>
  <sheetData>
    <row r="1" spans="1:3" ht="30" customHeight="1">
      <c r="A1" s="15" t="s">
        <v>257</v>
      </c>
      <c r="B1" s="15" t="s">
        <v>258</v>
      </c>
      <c r="C1" s="15" t="s">
        <v>259</v>
      </c>
    </row>
    <row r="2" spans="1:3" ht="27" customHeight="1">
      <c r="A2" s="17" t="s">
        <v>260</v>
      </c>
      <c r="B2" s="18" t="s">
        <v>328</v>
      </c>
      <c r="C2" s="19">
        <v>5</v>
      </c>
    </row>
    <row r="3" spans="1:3" ht="27" customHeight="1">
      <c r="A3" s="17" t="s">
        <v>261</v>
      </c>
      <c r="B3" s="18" t="s">
        <v>107</v>
      </c>
      <c r="C3" s="19">
        <v>5</v>
      </c>
    </row>
    <row r="4" spans="1:3" ht="27" customHeight="1">
      <c r="A4" s="17" t="s">
        <v>262</v>
      </c>
      <c r="B4" s="18" t="s">
        <v>297</v>
      </c>
      <c r="C4" s="19">
        <v>5</v>
      </c>
    </row>
    <row r="5" spans="1:3" ht="27" customHeight="1">
      <c r="A5" s="17" t="s">
        <v>263</v>
      </c>
      <c r="B5" s="18" t="s">
        <v>94</v>
      </c>
      <c r="C5" s="19">
        <v>5</v>
      </c>
    </row>
    <row r="6" spans="1:3" ht="27" customHeight="1">
      <c r="A6" s="17" t="s">
        <v>264</v>
      </c>
      <c r="B6" s="18" t="s">
        <v>186</v>
      </c>
      <c r="C6" s="19">
        <v>5</v>
      </c>
    </row>
    <row r="7" spans="1:3" ht="27" customHeight="1">
      <c r="A7" s="17" t="s">
        <v>265</v>
      </c>
      <c r="B7" s="18" t="s">
        <v>347</v>
      </c>
      <c r="C7" s="19">
        <v>5</v>
      </c>
    </row>
    <row r="8" spans="1:3" ht="27" customHeight="1">
      <c r="A8" s="17" t="s">
        <v>266</v>
      </c>
      <c r="B8" s="18" t="s">
        <v>144</v>
      </c>
      <c r="C8" s="19">
        <v>5</v>
      </c>
    </row>
    <row r="9" spans="1:3" ht="27" customHeight="1">
      <c r="A9" s="17" t="s">
        <v>267</v>
      </c>
      <c r="B9" s="18" t="s">
        <v>220</v>
      </c>
      <c r="C9" s="19">
        <v>5</v>
      </c>
    </row>
    <row r="10" spans="1:3" ht="27" customHeight="1">
      <c r="A10" s="17" t="s">
        <v>268</v>
      </c>
      <c r="B10" s="18" t="s">
        <v>207</v>
      </c>
      <c r="C10" s="19">
        <v>5</v>
      </c>
    </row>
    <row r="11" spans="1:3" ht="27" customHeight="1">
      <c r="A11" s="17" t="s">
        <v>269</v>
      </c>
      <c r="B11" s="18" t="s">
        <v>315</v>
      </c>
      <c r="C11" s="19">
        <v>5</v>
      </c>
    </row>
    <row r="12" spans="1:3" ht="27" customHeight="1">
      <c r="A12" s="17" t="s">
        <v>270</v>
      </c>
      <c r="B12" s="18" t="s">
        <v>3</v>
      </c>
      <c r="C12" s="19">
        <v>5</v>
      </c>
    </row>
    <row r="13" spans="1:3" ht="27" customHeight="1">
      <c r="A13" s="17" t="s">
        <v>271</v>
      </c>
      <c r="B13" s="18" t="s">
        <v>107</v>
      </c>
      <c r="C13" s="19">
        <v>5</v>
      </c>
    </row>
    <row r="14" spans="1:3" ht="27" customHeight="1">
      <c r="A14" s="17" t="s">
        <v>272</v>
      </c>
      <c r="B14" s="18" t="s">
        <v>79</v>
      </c>
      <c r="C14" s="19">
        <v>5</v>
      </c>
    </row>
    <row r="15" spans="1:3" ht="27" customHeight="1">
      <c r="A15" s="17" t="s">
        <v>274</v>
      </c>
      <c r="B15" s="18" t="s">
        <v>94</v>
      </c>
      <c r="C15" s="19">
        <v>5</v>
      </c>
    </row>
    <row r="16" spans="1:3" ht="27" customHeight="1">
      <c r="A16" s="17" t="s">
        <v>276</v>
      </c>
      <c r="B16" s="18" t="s">
        <v>324</v>
      </c>
      <c r="C16" s="19">
        <v>5</v>
      </c>
    </row>
    <row r="17" spans="1:3" ht="27" customHeight="1">
      <c r="A17" s="17" t="s">
        <v>277</v>
      </c>
      <c r="B17" s="18" t="s">
        <v>195</v>
      </c>
      <c r="C17" s="19">
        <v>5</v>
      </c>
    </row>
    <row r="18" spans="1:3" ht="27" customHeight="1">
      <c r="A18" s="17" t="s">
        <v>279</v>
      </c>
      <c r="B18" s="18" t="s">
        <v>46</v>
      </c>
      <c r="C18" s="19">
        <v>10</v>
      </c>
    </row>
    <row r="19" spans="1:3" ht="27" customHeight="1">
      <c r="A19" s="17" t="s">
        <v>303</v>
      </c>
      <c r="B19" s="18" t="s">
        <v>348</v>
      </c>
      <c r="C19" s="19">
        <v>12</v>
      </c>
    </row>
    <row r="20" spans="1:3" ht="27" customHeight="1">
      <c r="A20" s="17" t="s">
        <v>318</v>
      </c>
      <c r="B20" s="18" t="s">
        <v>26</v>
      </c>
      <c r="C20" s="19">
        <v>12</v>
      </c>
    </row>
    <row r="21" spans="1:3" ht="27" customHeight="1">
      <c r="A21" s="17" t="s">
        <v>327</v>
      </c>
      <c r="B21" s="18" t="s">
        <v>344</v>
      </c>
      <c r="C21" s="19">
        <v>14</v>
      </c>
    </row>
    <row r="22" spans="1:3" ht="27" customHeight="1">
      <c r="A22" s="17" t="s">
        <v>287</v>
      </c>
      <c r="B22" s="18" t="s">
        <v>181</v>
      </c>
      <c r="C22" s="19">
        <v>4</v>
      </c>
    </row>
    <row r="23" spans="1:3" ht="27" customHeight="1">
      <c r="A23" s="17" t="s">
        <v>329</v>
      </c>
      <c r="B23" s="18" t="s">
        <v>349</v>
      </c>
      <c r="C23" s="19">
        <v>7</v>
      </c>
    </row>
    <row r="24" spans="1:3" ht="27" customHeight="1">
      <c r="A24" s="17" t="s">
        <v>330</v>
      </c>
      <c r="B24" s="18" t="s">
        <v>275</v>
      </c>
      <c r="C24" s="19">
        <v>5</v>
      </c>
    </row>
    <row r="25" spans="1:3" ht="27" customHeight="1">
      <c r="A25" s="17" t="s">
        <v>332</v>
      </c>
      <c r="B25" s="18" t="s">
        <v>350</v>
      </c>
      <c r="C25" s="19">
        <v>6</v>
      </c>
    </row>
    <row r="26" spans="1:3" ht="27" customHeight="1">
      <c r="A26" s="17"/>
      <c r="C26" s="19"/>
    </row>
    <row r="27" spans="1:3" ht="27" customHeight="1">
      <c r="A27" s="20" t="s">
        <v>294</v>
      </c>
      <c r="B27" s="21"/>
      <c r="C27" s="22">
        <f>SUM(C18:C25)</f>
        <v>70</v>
      </c>
    </row>
    <row r="28" spans="1:3" ht="27" customHeight="1">
      <c r="A28" s="23" t="s">
        <v>295</v>
      </c>
      <c r="B28" s="24"/>
      <c r="C28" s="25">
        <f>SUM(C2:C25)</f>
        <v>150</v>
      </c>
    </row>
    <row r="29" spans="1:3" ht="27" customHeight="1"/>
    <row r="30" spans="1:3" ht="27" customHeight="1">
      <c r="A30" s="60" t="s">
        <v>351</v>
      </c>
      <c r="B30" s="60"/>
      <c r="C30" s="60"/>
    </row>
    <row r="31" spans="1:3" ht="27" customHeight="1">
      <c r="A31" s="60"/>
      <c r="B31" s="60"/>
      <c r="C31" s="60"/>
    </row>
    <row r="32" spans="1:3" ht="27" customHeight="1">
      <c r="A32" s="60"/>
      <c r="B32" s="60"/>
      <c r="C32" s="60"/>
    </row>
  </sheetData>
  <mergeCells count="1">
    <mergeCell ref="A30:C32"/>
  </mergeCells>
  <phoneticPr fontId="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A043-9C8B-41BF-A98F-80B209B33280}">
  <dimension ref="A1:B52"/>
  <sheetViews>
    <sheetView workbookViewId="0">
      <selection sqref="A1:B1"/>
    </sheetView>
  </sheetViews>
  <sheetFormatPr defaultRowHeight="14"/>
  <cols>
    <col min="1" max="1" width="30" customWidth="1"/>
    <col min="2" max="2" width="16" customWidth="1"/>
  </cols>
  <sheetData>
    <row r="1" spans="1:2" ht="32" customHeight="1">
      <c r="A1" s="57" t="s">
        <v>353</v>
      </c>
      <c r="B1" s="57"/>
    </row>
    <row r="2" spans="1:2" ht="28" customHeight="1">
      <c r="A2" s="58" t="s">
        <v>354</v>
      </c>
      <c r="B2" s="30" t="s">
        <v>256</v>
      </c>
    </row>
    <row r="3" spans="1:2" ht="28" customHeight="1">
      <c r="A3" s="58"/>
      <c r="B3" s="32">
        <v>4</v>
      </c>
    </row>
    <row r="4" spans="1:2" ht="28" customHeight="1">
      <c r="A4" s="58" t="s">
        <v>357</v>
      </c>
      <c r="B4" s="30" t="s">
        <v>256</v>
      </c>
    </row>
    <row r="5" spans="1:2" ht="28" customHeight="1">
      <c r="A5" s="58"/>
      <c r="B5" s="32">
        <v>12</v>
      </c>
    </row>
    <row r="6" spans="1:2" ht="28" customHeight="1">
      <c r="A6" s="58" t="s">
        <v>362</v>
      </c>
      <c r="B6" s="30" t="s">
        <v>256</v>
      </c>
    </row>
    <row r="7" spans="1:2" ht="28" customHeight="1">
      <c r="A7" s="58"/>
      <c r="B7" s="32">
        <v>2</v>
      </c>
    </row>
    <row r="8" spans="1:2" ht="28" customHeight="1">
      <c r="A8" s="58" t="s">
        <v>369</v>
      </c>
      <c r="B8" s="30" t="s">
        <v>256</v>
      </c>
    </row>
    <row r="9" spans="1:2" ht="28" customHeight="1">
      <c r="A9" s="58"/>
      <c r="B9" s="32">
        <v>6</v>
      </c>
    </row>
    <row r="10" spans="1:2" ht="28" customHeight="1">
      <c r="A10" s="58" t="s">
        <v>381</v>
      </c>
      <c r="B10" s="30" t="s">
        <v>256</v>
      </c>
    </row>
    <row r="11" spans="1:2" ht="28" customHeight="1">
      <c r="A11" s="58"/>
      <c r="B11" s="32">
        <v>12</v>
      </c>
    </row>
    <row r="12" spans="1:2" ht="28" customHeight="1">
      <c r="A12" s="58" t="s">
        <v>392</v>
      </c>
      <c r="B12" s="30" t="s">
        <v>256</v>
      </c>
    </row>
    <row r="13" spans="1:2" ht="28" customHeight="1">
      <c r="A13" s="58"/>
      <c r="B13" s="32">
        <v>6</v>
      </c>
    </row>
    <row r="14" spans="1:2" ht="28" customHeight="1">
      <c r="A14" s="58" t="s">
        <v>404</v>
      </c>
      <c r="B14" s="30" t="s">
        <v>256</v>
      </c>
    </row>
    <row r="15" spans="1:2" ht="28" customHeight="1">
      <c r="A15" s="58"/>
      <c r="B15" s="32">
        <v>4</v>
      </c>
    </row>
    <row r="16" spans="1:2" ht="32" customHeight="1">
      <c r="A16" s="57" t="s">
        <v>417</v>
      </c>
      <c r="B16" s="57"/>
    </row>
    <row r="17" spans="1:2" ht="28" customHeight="1">
      <c r="A17" s="58" t="s">
        <v>418</v>
      </c>
      <c r="B17" s="30" t="s">
        <v>256</v>
      </c>
    </row>
    <row r="18" spans="1:2" ht="28" customHeight="1">
      <c r="A18" s="58"/>
      <c r="B18" s="32">
        <v>2</v>
      </c>
    </row>
    <row r="19" spans="1:2" ht="28" customHeight="1">
      <c r="A19" s="58" t="s">
        <v>424</v>
      </c>
      <c r="B19" s="30" t="s">
        <v>256</v>
      </c>
    </row>
    <row r="20" spans="1:2" ht="28" customHeight="1">
      <c r="A20" s="58"/>
      <c r="B20" s="32">
        <v>14.5</v>
      </c>
    </row>
    <row r="21" spans="1:2" ht="28" customHeight="1">
      <c r="A21" s="58" t="s">
        <v>434</v>
      </c>
      <c r="B21" s="30" t="s">
        <v>256</v>
      </c>
    </row>
    <row r="22" spans="1:2" ht="28" customHeight="1">
      <c r="A22" s="58"/>
      <c r="B22" s="32">
        <v>12</v>
      </c>
    </row>
    <row r="23" spans="1:2" ht="28" customHeight="1">
      <c r="A23" s="58" t="s">
        <v>453</v>
      </c>
      <c r="B23" s="30" t="s">
        <v>256</v>
      </c>
    </row>
    <row r="24" spans="1:2" ht="28" customHeight="1">
      <c r="A24" s="58"/>
      <c r="B24" s="32">
        <v>6</v>
      </c>
    </row>
    <row r="25" spans="1:2" ht="28" customHeight="1">
      <c r="A25" s="58" t="s">
        <v>463</v>
      </c>
      <c r="B25" s="30" t="s">
        <v>256</v>
      </c>
    </row>
    <row r="26" spans="1:2" ht="28" customHeight="1">
      <c r="A26" s="58"/>
      <c r="B26" s="32">
        <v>6.5</v>
      </c>
    </row>
    <row r="27" spans="1:2" ht="28" customHeight="1">
      <c r="A27" s="58" t="s">
        <v>479</v>
      </c>
      <c r="B27" s="30" t="s">
        <v>256</v>
      </c>
    </row>
    <row r="28" spans="1:2" ht="28" customHeight="1">
      <c r="A28" s="58"/>
      <c r="B28" s="32">
        <v>4</v>
      </c>
    </row>
    <row r="29" spans="1:2" ht="32" customHeight="1">
      <c r="A29" s="57" t="s">
        <v>488</v>
      </c>
      <c r="B29" s="57"/>
    </row>
    <row r="30" spans="1:2" ht="28" customHeight="1">
      <c r="A30" s="58" t="s">
        <v>489</v>
      </c>
      <c r="B30" s="30" t="s">
        <v>256</v>
      </c>
    </row>
    <row r="31" spans="1:2" ht="28" customHeight="1">
      <c r="A31" s="58"/>
      <c r="B31" s="32">
        <v>7.5</v>
      </c>
    </row>
    <row r="32" spans="1:2" ht="28" customHeight="1">
      <c r="A32" s="58" t="s">
        <v>500</v>
      </c>
      <c r="B32" s="30" t="s">
        <v>256</v>
      </c>
    </row>
    <row r="33" spans="1:2" ht="28" customHeight="1">
      <c r="A33" s="58"/>
      <c r="B33" s="32">
        <v>11</v>
      </c>
    </row>
    <row r="34" spans="1:2" ht="28" customHeight="1">
      <c r="A34" s="58" t="s">
        <v>522</v>
      </c>
      <c r="B34" s="30" t="s">
        <v>256</v>
      </c>
    </row>
    <row r="35" spans="1:2" ht="28" customHeight="1">
      <c r="A35" s="58"/>
      <c r="B35" s="32">
        <v>6</v>
      </c>
    </row>
    <row r="36" spans="1:2" ht="28" customHeight="1">
      <c r="A36" s="58" t="s">
        <v>534</v>
      </c>
      <c r="B36" s="30" t="s">
        <v>256</v>
      </c>
    </row>
    <row r="37" spans="1:2" ht="28" customHeight="1">
      <c r="A37" s="58"/>
      <c r="B37" s="32">
        <v>6</v>
      </c>
    </row>
    <row r="38" spans="1:2" ht="28" customHeight="1">
      <c r="A38" s="58" t="s">
        <v>549</v>
      </c>
      <c r="B38" s="30" t="s">
        <v>256</v>
      </c>
    </row>
    <row r="39" spans="1:2" ht="28" customHeight="1">
      <c r="A39" s="58"/>
      <c r="B39" s="32">
        <v>3.5</v>
      </c>
    </row>
    <row r="40" spans="1:2" ht="32" customHeight="1">
      <c r="A40" s="57" t="s">
        <v>560</v>
      </c>
      <c r="B40" s="57"/>
    </row>
    <row r="41" spans="1:2" ht="28" customHeight="1">
      <c r="A41" s="58" t="s">
        <v>561</v>
      </c>
      <c r="B41" s="30" t="s">
        <v>256</v>
      </c>
    </row>
    <row r="42" spans="1:2" ht="28" customHeight="1">
      <c r="A42" s="58"/>
      <c r="B42" s="32">
        <v>4</v>
      </c>
    </row>
    <row r="43" spans="1:2" ht="28" customHeight="1">
      <c r="A43" s="58" t="s">
        <v>568</v>
      </c>
      <c r="B43" s="30" t="s">
        <v>256</v>
      </c>
    </row>
    <row r="44" spans="1:2" ht="28" customHeight="1">
      <c r="A44" s="58"/>
      <c r="B44" s="32">
        <v>1</v>
      </c>
    </row>
    <row r="45" spans="1:2" ht="28" customHeight="1">
      <c r="A45" s="58" t="s">
        <v>578</v>
      </c>
      <c r="B45" s="30" t="s">
        <v>256</v>
      </c>
    </row>
    <row r="46" spans="1:2" ht="28" customHeight="1">
      <c r="A46" s="58"/>
      <c r="B46" s="32">
        <v>7</v>
      </c>
    </row>
    <row r="47" spans="1:2" ht="28" customHeight="1">
      <c r="A47" s="58" t="s">
        <v>597</v>
      </c>
      <c r="B47" s="30" t="s">
        <v>256</v>
      </c>
    </row>
    <row r="48" spans="1:2" ht="28" customHeight="1">
      <c r="A48" s="58"/>
      <c r="B48" s="32">
        <v>6</v>
      </c>
    </row>
    <row r="49" spans="1:2" ht="28" customHeight="1">
      <c r="A49" s="58" t="s">
        <v>623</v>
      </c>
      <c r="B49" s="30" t="s">
        <v>256</v>
      </c>
    </row>
    <row r="50" spans="1:2" ht="28" customHeight="1">
      <c r="A50" s="58"/>
      <c r="B50" s="32">
        <v>5</v>
      </c>
    </row>
    <row r="51" spans="1:2" ht="28" customHeight="1">
      <c r="A51" s="58" t="s">
        <v>634</v>
      </c>
      <c r="B51" s="30" t="s">
        <v>256</v>
      </c>
    </row>
    <row r="52" spans="1:2" ht="28" customHeight="1">
      <c r="A52" s="58"/>
      <c r="B52" s="32">
        <v>2</v>
      </c>
    </row>
  </sheetData>
  <mergeCells count="28">
    <mergeCell ref="A45:A46"/>
    <mergeCell ref="A47:A48"/>
    <mergeCell ref="A49:A50"/>
    <mergeCell ref="A51:A52"/>
    <mergeCell ref="A34:A35"/>
    <mergeCell ref="A36:A37"/>
    <mergeCell ref="A38:A39"/>
    <mergeCell ref="A40:B40"/>
    <mergeCell ref="A41:A42"/>
    <mergeCell ref="A43:A44"/>
    <mergeCell ref="A32:A33"/>
    <mergeCell ref="A12:A13"/>
    <mergeCell ref="A14:A15"/>
    <mergeCell ref="A16:B16"/>
    <mergeCell ref="A17:A18"/>
    <mergeCell ref="A19:A20"/>
    <mergeCell ref="A21:A22"/>
    <mergeCell ref="A23:A24"/>
    <mergeCell ref="A25:A26"/>
    <mergeCell ref="A27:A28"/>
    <mergeCell ref="A29:B29"/>
    <mergeCell ref="A30:A31"/>
    <mergeCell ref="A10:A11"/>
    <mergeCell ref="A1:B1"/>
    <mergeCell ref="A2:A3"/>
    <mergeCell ref="A4:A5"/>
    <mergeCell ref="A6:A7"/>
    <mergeCell ref="A8:A9"/>
  </mergeCells>
  <phoneticPr fontId="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E6AC-0C74-49E2-A445-FD4C0BB52EDF}">
  <dimension ref="A1:B52"/>
  <sheetViews>
    <sheetView workbookViewId="0">
      <selection sqref="A1:B1"/>
    </sheetView>
  </sheetViews>
  <sheetFormatPr defaultRowHeight="14"/>
  <cols>
    <col min="1" max="1" width="30" customWidth="1"/>
    <col min="2" max="2" width="16" customWidth="1"/>
  </cols>
  <sheetData>
    <row r="1" spans="1:2" ht="32" customHeight="1">
      <c r="A1" s="57" t="s">
        <v>353</v>
      </c>
      <c r="B1" s="57"/>
    </row>
    <row r="2" spans="1:2" ht="28" customHeight="1">
      <c r="A2" s="58" t="s">
        <v>354</v>
      </c>
      <c r="B2" s="30" t="s">
        <v>256</v>
      </c>
    </row>
    <row r="3" spans="1:2" ht="28" customHeight="1">
      <c r="A3" s="58"/>
      <c r="B3" s="32">
        <v>0</v>
      </c>
    </row>
    <row r="4" spans="1:2" ht="28" customHeight="1">
      <c r="A4" s="58" t="s">
        <v>357</v>
      </c>
      <c r="B4" s="30" t="s">
        <v>256</v>
      </c>
    </row>
    <row r="5" spans="1:2" ht="28" customHeight="1">
      <c r="A5" s="58"/>
      <c r="B5" s="32">
        <v>2</v>
      </c>
    </row>
    <row r="6" spans="1:2" ht="28" customHeight="1">
      <c r="A6" s="58" t="s">
        <v>362</v>
      </c>
      <c r="B6" s="30" t="s">
        <v>256</v>
      </c>
    </row>
    <row r="7" spans="1:2" ht="28" customHeight="1">
      <c r="A7" s="58"/>
      <c r="B7" s="32">
        <v>2</v>
      </c>
    </row>
    <row r="8" spans="1:2" ht="28" customHeight="1">
      <c r="A8" s="58" t="s">
        <v>369</v>
      </c>
      <c r="B8" s="30" t="s">
        <v>256</v>
      </c>
    </row>
    <row r="9" spans="1:2" ht="28" customHeight="1">
      <c r="A9" s="58"/>
      <c r="B9" s="32">
        <v>4</v>
      </c>
    </row>
    <row r="10" spans="1:2" ht="28" customHeight="1">
      <c r="A10" s="58" t="s">
        <v>381</v>
      </c>
      <c r="B10" s="30" t="s">
        <v>256</v>
      </c>
    </row>
    <row r="11" spans="1:2" ht="28" customHeight="1">
      <c r="A11" s="58"/>
      <c r="B11" s="32">
        <v>15</v>
      </c>
    </row>
    <row r="12" spans="1:2" ht="28" customHeight="1">
      <c r="A12" s="58" t="s">
        <v>392</v>
      </c>
      <c r="B12" s="30" t="s">
        <v>256</v>
      </c>
    </row>
    <row r="13" spans="1:2" ht="28" customHeight="1">
      <c r="A13" s="58"/>
      <c r="B13" s="32">
        <v>16</v>
      </c>
    </row>
    <row r="14" spans="1:2" ht="28" customHeight="1">
      <c r="A14" s="58" t="s">
        <v>404</v>
      </c>
      <c r="B14" s="30" t="s">
        <v>256</v>
      </c>
    </row>
    <row r="15" spans="1:2" ht="28" customHeight="1">
      <c r="A15" s="58"/>
      <c r="B15" s="32">
        <v>6</v>
      </c>
    </row>
    <row r="16" spans="1:2" ht="32" customHeight="1">
      <c r="A16" s="57" t="s">
        <v>417</v>
      </c>
      <c r="B16" s="57"/>
    </row>
    <row r="17" spans="1:2" ht="28" customHeight="1">
      <c r="A17" s="58" t="s">
        <v>418</v>
      </c>
      <c r="B17" s="30" t="s">
        <v>256</v>
      </c>
    </row>
    <row r="18" spans="1:2" ht="28" customHeight="1">
      <c r="A18" s="58"/>
      <c r="B18" s="32">
        <v>0</v>
      </c>
    </row>
    <row r="19" spans="1:2" ht="28" customHeight="1">
      <c r="A19" s="58" t="s">
        <v>424</v>
      </c>
      <c r="B19" s="30" t="s">
        <v>256</v>
      </c>
    </row>
    <row r="20" spans="1:2" ht="28" customHeight="1">
      <c r="A20" s="58"/>
      <c r="B20" s="32">
        <v>8.5</v>
      </c>
    </row>
    <row r="21" spans="1:2" ht="28" customHeight="1">
      <c r="A21" s="58" t="s">
        <v>434</v>
      </c>
      <c r="B21" s="30" t="s">
        <v>256</v>
      </c>
    </row>
    <row r="22" spans="1:2" ht="28" customHeight="1">
      <c r="A22" s="58"/>
      <c r="B22" s="32">
        <v>8.5</v>
      </c>
    </row>
    <row r="23" spans="1:2" ht="28" customHeight="1">
      <c r="A23" s="58" t="s">
        <v>453</v>
      </c>
      <c r="B23" s="30" t="s">
        <v>256</v>
      </c>
    </row>
    <row r="24" spans="1:2" ht="28" customHeight="1">
      <c r="A24" s="58"/>
      <c r="B24" s="32">
        <v>12.5</v>
      </c>
    </row>
    <row r="25" spans="1:2" ht="28" customHeight="1">
      <c r="A25" s="58" t="s">
        <v>463</v>
      </c>
      <c r="B25" s="30" t="s">
        <v>256</v>
      </c>
    </row>
    <row r="26" spans="1:2" ht="28" customHeight="1">
      <c r="A26" s="58"/>
      <c r="B26" s="32">
        <v>9.5</v>
      </c>
    </row>
    <row r="27" spans="1:2" ht="28" customHeight="1">
      <c r="A27" s="58" t="s">
        <v>479</v>
      </c>
      <c r="B27" s="30" t="s">
        <v>256</v>
      </c>
    </row>
    <row r="28" spans="1:2" ht="28" customHeight="1">
      <c r="A28" s="58"/>
      <c r="B28" s="32">
        <v>6</v>
      </c>
    </row>
    <row r="29" spans="1:2" ht="32" customHeight="1">
      <c r="A29" s="57" t="s">
        <v>488</v>
      </c>
      <c r="B29" s="57"/>
    </row>
    <row r="30" spans="1:2" ht="28" customHeight="1">
      <c r="A30" s="58" t="s">
        <v>489</v>
      </c>
      <c r="B30" s="30" t="s">
        <v>256</v>
      </c>
    </row>
    <row r="31" spans="1:2" ht="28" customHeight="1">
      <c r="A31" s="58"/>
      <c r="B31" s="32">
        <v>2</v>
      </c>
    </row>
    <row r="32" spans="1:2" ht="28" customHeight="1">
      <c r="A32" s="58" t="s">
        <v>500</v>
      </c>
      <c r="B32" s="30" t="s">
        <v>256</v>
      </c>
    </row>
    <row r="33" spans="1:2" ht="28" customHeight="1">
      <c r="A33" s="58"/>
      <c r="B33" s="32">
        <v>16</v>
      </c>
    </row>
    <row r="34" spans="1:2" ht="28" customHeight="1">
      <c r="A34" s="58" t="s">
        <v>522</v>
      </c>
      <c r="B34" s="30" t="s">
        <v>256</v>
      </c>
    </row>
    <row r="35" spans="1:2" ht="28" customHeight="1">
      <c r="A35" s="58"/>
      <c r="B35" s="32">
        <v>9</v>
      </c>
    </row>
    <row r="36" spans="1:2" ht="28" customHeight="1">
      <c r="A36" s="58" t="s">
        <v>534</v>
      </c>
      <c r="B36" s="30" t="s">
        <v>256</v>
      </c>
    </row>
    <row r="37" spans="1:2" ht="28" customHeight="1">
      <c r="A37" s="58"/>
      <c r="B37" s="32">
        <v>4</v>
      </c>
    </row>
    <row r="38" spans="1:2" ht="28" customHeight="1">
      <c r="A38" s="58" t="s">
        <v>549</v>
      </c>
      <c r="B38" s="30" t="s">
        <v>256</v>
      </c>
    </row>
    <row r="39" spans="1:2" ht="28" customHeight="1">
      <c r="A39" s="58"/>
      <c r="B39" s="32">
        <v>4</v>
      </c>
    </row>
    <row r="40" spans="1:2" ht="32" customHeight="1">
      <c r="A40" s="57" t="s">
        <v>560</v>
      </c>
      <c r="B40" s="57"/>
    </row>
    <row r="41" spans="1:2" ht="28" customHeight="1">
      <c r="A41" s="58" t="s">
        <v>561</v>
      </c>
      <c r="B41" s="30" t="s">
        <v>256</v>
      </c>
    </row>
    <row r="42" spans="1:2" ht="28" customHeight="1">
      <c r="A42" s="58"/>
      <c r="B42" s="32">
        <v>2</v>
      </c>
    </row>
    <row r="43" spans="1:2" ht="28" customHeight="1">
      <c r="A43" s="58" t="s">
        <v>568</v>
      </c>
      <c r="B43" s="30" t="s">
        <v>256</v>
      </c>
    </row>
    <row r="44" spans="1:2" ht="28" customHeight="1">
      <c r="A44" s="58"/>
      <c r="B44" s="32">
        <v>2</v>
      </c>
    </row>
    <row r="45" spans="1:2" ht="28" customHeight="1">
      <c r="A45" s="58" t="s">
        <v>578</v>
      </c>
      <c r="B45" s="30" t="s">
        <v>256</v>
      </c>
    </row>
    <row r="46" spans="1:2" ht="28" customHeight="1">
      <c r="A46" s="58"/>
      <c r="B46" s="32">
        <v>5</v>
      </c>
    </row>
    <row r="47" spans="1:2" ht="28" customHeight="1">
      <c r="A47" s="58" t="s">
        <v>597</v>
      </c>
      <c r="B47" s="30" t="s">
        <v>256</v>
      </c>
    </row>
    <row r="48" spans="1:2" ht="28" customHeight="1">
      <c r="A48" s="58"/>
      <c r="B48" s="32">
        <v>10</v>
      </c>
    </row>
    <row r="49" spans="1:2" ht="28" customHeight="1">
      <c r="A49" s="58" t="s">
        <v>623</v>
      </c>
      <c r="B49" s="30" t="s">
        <v>256</v>
      </c>
    </row>
    <row r="50" spans="1:2" ht="28" customHeight="1">
      <c r="A50" s="58"/>
      <c r="B50" s="32">
        <v>4</v>
      </c>
    </row>
    <row r="51" spans="1:2" ht="28" customHeight="1">
      <c r="A51" s="58" t="s">
        <v>634</v>
      </c>
      <c r="B51" s="30" t="s">
        <v>256</v>
      </c>
    </row>
    <row r="52" spans="1:2" ht="28" customHeight="1">
      <c r="A52" s="58"/>
      <c r="B52" s="32">
        <v>2</v>
      </c>
    </row>
  </sheetData>
  <mergeCells count="28">
    <mergeCell ref="A45:A46"/>
    <mergeCell ref="A47:A48"/>
    <mergeCell ref="A49:A50"/>
    <mergeCell ref="A51:A52"/>
    <mergeCell ref="A34:A35"/>
    <mergeCell ref="A36:A37"/>
    <mergeCell ref="A38:A39"/>
    <mergeCell ref="A40:B40"/>
    <mergeCell ref="A41:A42"/>
    <mergeCell ref="A43:A44"/>
    <mergeCell ref="A32:A33"/>
    <mergeCell ref="A12:A13"/>
    <mergeCell ref="A14:A15"/>
    <mergeCell ref="A16:B16"/>
    <mergeCell ref="A17:A18"/>
    <mergeCell ref="A19:A20"/>
    <mergeCell ref="A21:A22"/>
    <mergeCell ref="A23:A24"/>
    <mergeCell ref="A25:A26"/>
    <mergeCell ref="A27:A28"/>
    <mergeCell ref="A29:B29"/>
    <mergeCell ref="A30:A31"/>
    <mergeCell ref="A10:A11"/>
    <mergeCell ref="A1:B1"/>
    <mergeCell ref="A2:A3"/>
    <mergeCell ref="A4:A5"/>
    <mergeCell ref="A6:A7"/>
    <mergeCell ref="A8:A9"/>
  </mergeCells>
  <phoneticPr fontId="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94A2D-B31C-4035-8D00-6A65530D8EC8}">
  <dimension ref="A1:B52"/>
  <sheetViews>
    <sheetView workbookViewId="0">
      <selection sqref="A1:B1"/>
    </sheetView>
  </sheetViews>
  <sheetFormatPr defaultRowHeight="14"/>
  <cols>
    <col min="1" max="1" width="30" customWidth="1"/>
    <col min="2" max="2" width="16" customWidth="1"/>
  </cols>
  <sheetData>
    <row r="1" spans="1:2" ht="32" customHeight="1">
      <c r="A1" s="57" t="s">
        <v>353</v>
      </c>
      <c r="B1" s="57"/>
    </row>
    <row r="2" spans="1:2" ht="28" customHeight="1">
      <c r="A2" s="58" t="s">
        <v>354</v>
      </c>
      <c r="B2" s="30" t="s">
        <v>256</v>
      </c>
    </row>
    <row r="3" spans="1:2" ht="28" customHeight="1">
      <c r="A3" s="58"/>
      <c r="B3" s="32">
        <v>0</v>
      </c>
    </row>
    <row r="4" spans="1:2" ht="28" customHeight="1">
      <c r="A4" s="58" t="s">
        <v>357</v>
      </c>
      <c r="B4" s="30" t="s">
        <v>256</v>
      </c>
    </row>
    <row r="5" spans="1:2" ht="28" customHeight="1">
      <c r="A5" s="58"/>
      <c r="B5" s="32">
        <v>4</v>
      </c>
    </row>
    <row r="6" spans="1:2" ht="28" customHeight="1">
      <c r="A6" s="58" t="s">
        <v>362</v>
      </c>
      <c r="B6" s="30" t="s">
        <v>256</v>
      </c>
    </row>
    <row r="7" spans="1:2" ht="28" customHeight="1">
      <c r="A7" s="58"/>
      <c r="B7" s="32">
        <v>2</v>
      </c>
    </row>
    <row r="8" spans="1:2" ht="28" customHeight="1">
      <c r="A8" s="58" t="s">
        <v>369</v>
      </c>
      <c r="B8" s="30" t="s">
        <v>256</v>
      </c>
    </row>
    <row r="9" spans="1:2" ht="28" customHeight="1">
      <c r="A9" s="58"/>
      <c r="B9" s="32">
        <v>4</v>
      </c>
    </row>
    <row r="10" spans="1:2" ht="28" customHeight="1">
      <c r="A10" s="58" t="s">
        <v>381</v>
      </c>
      <c r="B10" s="30" t="s">
        <v>256</v>
      </c>
    </row>
    <row r="11" spans="1:2" ht="28" customHeight="1">
      <c r="A11" s="58"/>
      <c r="B11" s="32">
        <v>15</v>
      </c>
    </row>
    <row r="12" spans="1:2" ht="28" customHeight="1">
      <c r="A12" s="58" t="s">
        <v>392</v>
      </c>
      <c r="B12" s="30" t="s">
        <v>256</v>
      </c>
    </row>
    <row r="13" spans="1:2" ht="28" customHeight="1">
      <c r="A13" s="58"/>
      <c r="B13" s="32">
        <v>6</v>
      </c>
    </row>
    <row r="14" spans="1:2" ht="28" customHeight="1">
      <c r="A14" s="58" t="s">
        <v>404</v>
      </c>
      <c r="B14" s="30" t="s">
        <v>256</v>
      </c>
    </row>
    <row r="15" spans="1:2" ht="28" customHeight="1">
      <c r="A15" s="58"/>
      <c r="B15" s="32">
        <v>14</v>
      </c>
    </row>
    <row r="16" spans="1:2" ht="32" customHeight="1">
      <c r="A16" s="57" t="s">
        <v>417</v>
      </c>
      <c r="B16" s="57"/>
    </row>
    <row r="17" spans="1:2" ht="28" customHeight="1">
      <c r="A17" s="58" t="s">
        <v>418</v>
      </c>
      <c r="B17" s="30" t="s">
        <v>256</v>
      </c>
    </row>
    <row r="18" spans="1:2" ht="28" customHeight="1">
      <c r="A18" s="58"/>
      <c r="B18" s="32">
        <v>2</v>
      </c>
    </row>
    <row r="19" spans="1:2" ht="28" customHeight="1">
      <c r="A19" s="58" t="s">
        <v>424</v>
      </c>
      <c r="B19" s="30" t="s">
        <v>256</v>
      </c>
    </row>
    <row r="20" spans="1:2" ht="28" customHeight="1">
      <c r="A20" s="58"/>
      <c r="B20" s="32">
        <v>6</v>
      </c>
    </row>
    <row r="21" spans="1:2" ht="28" customHeight="1">
      <c r="A21" s="58" t="s">
        <v>434</v>
      </c>
      <c r="B21" s="30" t="s">
        <v>256</v>
      </c>
    </row>
    <row r="22" spans="1:2" ht="28" customHeight="1">
      <c r="A22" s="58"/>
      <c r="B22" s="32">
        <v>18</v>
      </c>
    </row>
    <row r="23" spans="1:2" ht="28" customHeight="1">
      <c r="A23" s="58" t="s">
        <v>453</v>
      </c>
      <c r="B23" s="30" t="s">
        <v>256</v>
      </c>
    </row>
    <row r="24" spans="1:2" ht="28" customHeight="1">
      <c r="A24" s="58"/>
      <c r="B24" s="32">
        <v>9</v>
      </c>
    </row>
    <row r="25" spans="1:2" ht="28" customHeight="1">
      <c r="A25" s="58" t="s">
        <v>463</v>
      </c>
      <c r="B25" s="30" t="s">
        <v>256</v>
      </c>
    </row>
    <row r="26" spans="1:2" ht="28" customHeight="1">
      <c r="A26" s="58"/>
      <c r="B26" s="32">
        <v>6</v>
      </c>
    </row>
    <row r="27" spans="1:2" ht="28" customHeight="1">
      <c r="A27" s="58" t="s">
        <v>479</v>
      </c>
      <c r="B27" s="30" t="s">
        <v>256</v>
      </c>
    </row>
    <row r="28" spans="1:2" ht="28" customHeight="1">
      <c r="A28" s="58"/>
      <c r="B28" s="32">
        <v>4</v>
      </c>
    </row>
    <row r="29" spans="1:2" ht="32" customHeight="1">
      <c r="A29" s="57" t="s">
        <v>488</v>
      </c>
      <c r="B29" s="57"/>
    </row>
    <row r="30" spans="1:2" ht="28" customHeight="1">
      <c r="A30" s="58" t="s">
        <v>489</v>
      </c>
      <c r="B30" s="30" t="s">
        <v>256</v>
      </c>
    </row>
    <row r="31" spans="1:2" ht="28" customHeight="1">
      <c r="A31" s="58"/>
      <c r="B31" s="32">
        <v>7</v>
      </c>
    </row>
    <row r="32" spans="1:2" ht="28" customHeight="1">
      <c r="A32" s="58" t="s">
        <v>500</v>
      </c>
      <c r="B32" s="30" t="s">
        <v>256</v>
      </c>
    </row>
    <row r="33" spans="1:2" ht="28" customHeight="1">
      <c r="A33" s="58"/>
      <c r="B33" s="32">
        <v>15.5</v>
      </c>
    </row>
    <row r="34" spans="1:2" ht="28" customHeight="1">
      <c r="A34" s="58" t="s">
        <v>522</v>
      </c>
      <c r="B34" s="30" t="s">
        <v>256</v>
      </c>
    </row>
    <row r="35" spans="1:2" ht="28" customHeight="1">
      <c r="A35" s="58"/>
      <c r="B35" s="32">
        <v>6</v>
      </c>
    </row>
    <row r="36" spans="1:2" ht="28" customHeight="1">
      <c r="A36" s="58" t="s">
        <v>534</v>
      </c>
      <c r="B36" s="30" t="s">
        <v>256</v>
      </c>
    </row>
    <row r="37" spans="1:2" ht="28" customHeight="1">
      <c r="A37" s="58"/>
      <c r="B37" s="32">
        <v>2</v>
      </c>
    </row>
    <row r="38" spans="1:2" ht="28" customHeight="1">
      <c r="A38" s="58" t="s">
        <v>549</v>
      </c>
      <c r="B38" s="30" t="s">
        <v>256</v>
      </c>
    </row>
    <row r="39" spans="1:2" ht="28" customHeight="1">
      <c r="A39" s="58"/>
      <c r="B39" s="32">
        <v>4.5</v>
      </c>
    </row>
    <row r="40" spans="1:2" ht="32" customHeight="1">
      <c r="A40" s="57" t="s">
        <v>560</v>
      </c>
      <c r="B40" s="57"/>
    </row>
    <row r="41" spans="1:2" ht="28" customHeight="1">
      <c r="A41" s="58" t="s">
        <v>561</v>
      </c>
      <c r="B41" s="30" t="s">
        <v>256</v>
      </c>
    </row>
    <row r="42" spans="1:2" ht="28" customHeight="1">
      <c r="A42" s="58"/>
      <c r="B42" s="32">
        <v>2</v>
      </c>
    </row>
    <row r="43" spans="1:2" ht="28" customHeight="1">
      <c r="A43" s="58" t="s">
        <v>568</v>
      </c>
      <c r="B43" s="30" t="s">
        <v>256</v>
      </c>
    </row>
    <row r="44" spans="1:2" ht="28" customHeight="1">
      <c r="A44" s="58"/>
      <c r="B44" s="32">
        <v>2</v>
      </c>
    </row>
    <row r="45" spans="1:2" ht="28" customHeight="1">
      <c r="A45" s="58" t="s">
        <v>578</v>
      </c>
      <c r="B45" s="30" t="s">
        <v>256</v>
      </c>
    </row>
    <row r="46" spans="1:2" ht="28" customHeight="1">
      <c r="A46" s="58"/>
      <c r="B46" s="32">
        <v>6</v>
      </c>
    </row>
    <row r="47" spans="1:2" ht="28" customHeight="1">
      <c r="A47" s="58" t="s">
        <v>597</v>
      </c>
      <c r="B47" s="30" t="s">
        <v>256</v>
      </c>
    </row>
    <row r="48" spans="1:2" ht="28" customHeight="1">
      <c r="A48" s="58"/>
      <c r="B48" s="32">
        <v>6</v>
      </c>
    </row>
    <row r="49" spans="1:2" ht="28" customHeight="1">
      <c r="A49" s="58" t="s">
        <v>623</v>
      </c>
      <c r="B49" s="30" t="s">
        <v>256</v>
      </c>
    </row>
    <row r="50" spans="1:2" ht="28" customHeight="1">
      <c r="A50" s="58"/>
      <c r="B50" s="32">
        <v>7</v>
      </c>
    </row>
    <row r="51" spans="1:2" ht="28" customHeight="1">
      <c r="A51" s="58" t="s">
        <v>634</v>
      </c>
      <c r="B51" s="30" t="s">
        <v>256</v>
      </c>
    </row>
    <row r="52" spans="1:2" ht="28" customHeight="1">
      <c r="A52" s="58"/>
      <c r="B52" s="32">
        <v>2</v>
      </c>
    </row>
  </sheetData>
  <mergeCells count="28">
    <mergeCell ref="A45:A46"/>
    <mergeCell ref="A47:A48"/>
    <mergeCell ref="A49:A50"/>
    <mergeCell ref="A51:A52"/>
    <mergeCell ref="A34:A35"/>
    <mergeCell ref="A36:A37"/>
    <mergeCell ref="A38:A39"/>
    <mergeCell ref="A40:B40"/>
    <mergeCell ref="A41:A42"/>
    <mergeCell ref="A43:A44"/>
    <mergeCell ref="A32:A33"/>
    <mergeCell ref="A12:A13"/>
    <mergeCell ref="A14:A15"/>
    <mergeCell ref="A16:B16"/>
    <mergeCell ref="A17:A18"/>
    <mergeCell ref="A19:A20"/>
    <mergeCell ref="A21:A22"/>
    <mergeCell ref="A23:A24"/>
    <mergeCell ref="A25:A26"/>
    <mergeCell ref="A27:A28"/>
    <mergeCell ref="A29:B29"/>
    <mergeCell ref="A30:A31"/>
    <mergeCell ref="A10:A11"/>
    <mergeCell ref="A1:B1"/>
    <mergeCell ref="A2:A3"/>
    <mergeCell ref="A4:A5"/>
    <mergeCell ref="A6:A7"/>
    <mergeCell ref="A8:A9"/>
  </mergeCells>
  <phoneticPr fontId="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B70EB-3B21-4ACF-86F1-A556EFBCE565}">
  <dimension ref="A1:B52"/>
  <sheetViews>
    <sheetView workbookViewId="0">
      <selection sqref="A1:B1"/>
    </sheetView>
  </sheetViews>
  <sheetFormatPr defaultRowHeight="14"/>
  <cols>
    <col min="1" max="1" width="30" customWidth="1"/>
    <col min="2" max="2" width="16" customWidth="1"/>
  </cols>
  <sheetData>
    <row r="1" spans="1:2" ht="32" customHeight="1">
      <c r="A1" s="57" t="s">
        <v>353</v>
      </c>
      <c r="B1" s="57"/>
    </row>
    <row r="2" spans="1:2" ht="28" customHeight="1">
      <c r="A2" s="58" t="s">
        <v>354</v>
      </c>
      <c r="B2" s="30" t="s">
        <v>256</v>
      </c>
    </row>
    <row r="3" spans="1:2" ht="28" customHeight="1">
      <c r="A3" s="58"/>
      <c r="B3" s="32">
        <v>5</v>
      </c>
    </row>
    <row r="4" spans="1:2" ht="28" customHeight="1">
      <c r="A4" s="58" t="s">
        <v>357</v>
      </c>
      <c r="B4" s="30" t="s">
        <v>256</v>
      </c>
    </row>
    <row r="5" spans="1:2" ht="28" customHeight="1">
      <c r="A5" s="58"/>
      <c r="B5" s="32">
        <v>0</v>
      </c>
    </row>
    <row r="6" spans="1:2" ht="28" customHeight="1">
      <c r="A6" s="58" t="s">
        <v>362</v>
      </c>
      <c r="B6" s="30" t="s">
        <v>256</v>
      </c>
    </row>
    <row r="7" spans="1:2" ht="28" customHeight="1">
      <c r="A7" s="58"/>
      <c r="B7" s="32">
        <v>2</v>
      </c>
    </row>
    <row r="8" spans="1:2" ht="28" customHeight="1">
      <c r="A8" s="58" t="s">
        <v>369</v>
      </c>
      <c r="B8" s="30" t="s">
        <v>256</v>
      </c>
    </row>
    <row r="9" spans="1:2" ht="28" customHeight="1">
      <c r="A9" s="58"/>
      <c r="B9" s="32">
        <v>19.5</v>
      </c>
    </row>
    <row r="10" spans="1:2" ht="28" customHeight="1">
      <c r="A10" s="58" t="s">
        <v>381</v>
      </c>
      <c r="B10" s="30" t="s">
        <v>256</v>
      </c>
    </row>
    <row r="11" spans="1:2" ht="28" customHeight="1">
      <c r="A11" s="58"/>
      <c r="B11" s="32">
        <v>4</v>
      </c>
    </row>
    <row r="12" spans="1:2" ht="28" customHeight="1">
      <c r="A12" s="58" t="s">
        <v>392</v>
      </c>
      <c r="B12" s="30" t="s">
        <v>256</v>
      </c>
    </row>
    <row r="13" spans="1:2" ht="28" customHeight="1">
      <c r="A13" s="58"/>
      <c r="B13" s="32">
        <v>10.5</v>
      </c>
    </row>
    <row r="14" spans="1:2" ht="28" customHeight="1">
      <c r="A14" s="58" t="s">
        <v>404</v>
      </c>
      <c r="B14" s="30" t="s">
        <v>256</v>
      </c>
    </row>
    <row r="15" spans="1:2" ht="28" customHeight="1">
      <c r="A15" s="58"/>
      <c r="B15" s="32">
        <v>4</v>
      </c>
    </row>
    <row r="16" spans="1:2" ht="32" customHeight="1">
      <c r="A16" s="57" t="s">
        <v>417</v>
      </c>
      <c r="B16" s="57"/>
    </row>
    <row r="17" spans="1:2" ht="28" customHeight="1">
      <c r="A17" s="58" t="s">
        <v>418</v>
      </c>
      <c r="B17" s="30" t="s">
        <v>256</v>
      </c>
    </row>
    <row r="18" spans="1:2" ht="28" customHeight="1">
      <c r="A18" s="58"/>
      <c r="B18" s="32">
        <v>2</v>
      </c>
    </row>
    <row r="19" spans="1:2" ht="28" customHeight="1">
      <c r="A19" s="58" t="s">
        <v>424</v>
      </c>
      <c r="B19" s="30" t="s">
        <v>256</v>
      </c>
    </row>
    <row r="20" spans="1:2" ht="28" customHeight="1">
      <c r="A20" s="58"/>
      <c r="B20" s="32">
        <v>8</v>
      </c>
    </row>
    <row r="21" spans="1:2" ht="28" customHeight="1">
      <c r="A21" s="58" t="s">
        <v>434</v>
      </c>
      <c r="B21" s="30" t="s">
        <v>256</v>
      </c>
    </row>
    <row r="22" spans="1:2" ht="28" customHeight="1">
      <c r="A22" s="58"/>
      <c r="B22" s="32">
        <v>11</v>
      </c>
    </row>
    <row r="23" spans="1:2" ht="28" customHeight="1">
      <c r="A23" s="58" t="s">
        <v>453</v>
      </c>
      <c r="B23" s="30" t="s">
        <v>256</v>
      </c>
    </row>
    <row r="24" spans="1:2" ht="28" customHeight="1">
      <c r="A24" s="58"/>
      <c r="B24" s="32">
        <v>6</v>
      </c>
    </row>
    <row r="25" spans="1:2" ht="28" customHeight="1">
      <c r="A25" s="58" t="s">
        <v>463</v>
      </c>
      <c r="B25" s="30" t="s">
        <v>256</v>
      </c>
    </row>
    <row r="26" spans="1:2" ht="28" customHeight="1">
      <c r="A26" s="58"/>
      <c r="B26" s="32">
        <v>13</v>
      </c>
    </row>
    <row r="27" spans="1:2" ht="28" customHeight="1">
      <c r="A27" s="58" t="s">
        <v>479</v>
      </c>
      <c r="B27" s="30" t="s">
        <v>256</v>
      </c>
    </row>
    <row r="28" spans="1:2" ht="28" customHeight="1">
      <c r="A28" s="58"/>
      <c r="B28" s="32">
        <v>5</v>
      </c>
    </row>
    <row r="29" spans="1:2" ht="32" customHeight="1">
      <c r="A29" s="57" t="s">
        <v>488</v>
      </c>
      <c r="B29" s="57"/>
    </row>
    <row r="30" spans="1:2" ht="28" customHeight="1">
      <c r="A30" s="58" t="s">
        <v>489</v>
      </c>
      <c r="B30" s="30" t="s">
        <v>256</v>
      </c>
    </row>
    <row r="31" spans="1:2" ht="28" customHeight="1">
      <c r="A31" s="58"/>
      <c r="B31" s="32">
        <v>8</v>
      </c>
    </row>
    <row r="32" spans="1:2" ht="28" customHeight="1">
      <c r="A32" s="58" t="s">
        <v>500</v>
      </c>
      <c r="B32" s="30" t="s">
        <v>256</v>
      </c>
    </row>
    <row r="33" spans="1:2" ht="28" customHeight="1">
      <c r="A33" s="58"/>
      <c r="B33" s="32">
        <v>14</v>
      </c>
    </row>
    <row r="34" spans="1:2" ht="28" customHeight="1">
      <c r="A34" s="58" t="s">
        <v>522</v>
      </c>
      <c r="B34" s="30" t="s">
        <v>256</v>
      </c>
    </row>
    <row r="35" spans="1:2" ht="28" customHeight="1">
      <c r="A35" s="58"/>
      <c r="B35" s="32">
        <v>4</v>
      </c>
    </row>
    <row r="36" spans="1:2" ht="28" customHeight="1">
      <c r="A36" s="58" t="s">
        <v>534</v>
      </c>
      <c r="B36" s="30" t="s">
        <v>256</v>
      </c>
    </row>
    <row r="37" spans="1:2" ht="28" customHeight="1">
      <c r="A37" s="58"/>
      <c r="B37" s="32">
        <v>7</v>
      </c>
    </row>
    <row r="38" spans="1:2" ht="28" customHeight="1">
      <c r="A38" s="58" t="s">
        <v>549</v>
      </c>
      <c r="B38" s="30" t="s">
        <v>256</v>
      </c>
    </row>
    <row r="39" spans="1:2" ht="28" customHeight="1">
      <c r="A39" s="58"/>
      <c r="B39" s="32">
        <v>2</v>
      </c>
    </row>
    <row r="40" spans="1:2" ht="32" customHeight="1">
      <c r="A40" s="57" t="s">
        <v>560</v>
      </c>
      <c r="B40" s="57"/>
    </row>
    <row r="41" spans="1:2" ht="28" customHeight="1">
      <c r="A41" s="58" t="s">
        <v>561</v>
      </c>
      <c r="B41" s="30" t="s">
        <v>256</v>
      </c>
    </row>
    <row r="42" spans="1:2" ht="28" customHeight="1">
      <c r="A42" s="58"/>
      <c r="B42" s="32">
        <v>2</v>
      </c>
    </row>
    <row r="43" spans="1:2" ht="28" customHeight="1">
      <c r="A43" s="58" t="s">
        <v>568</v>
      </c>
      <c r="B43" s="30" t="s">
        <v>256</v>
      </c>
    </row>
    <row r="44" spans="1:2" ht="28" customHeight="1">
      <c r="A44" s="58"/>
      <c r="B44" s="32">
        <v>3</v>
      </c>
    </row>
    <row r="45" spans="1:2" ht="28" customHeight="1">
      <c r="A45" s="58" t="s">
        <v>578</v>
      </c>
      <c r="B45" s="30" t="s">
        <v>256</v>
      </c>
    </row>
    <row r="46" spans="1:2" ht="28" customHeight="1">
      <c r="A46" s="58"/>
      <c r="B46" s="32">
        <v>6.5</v>
      </c>
    </row>
    <row r="47" spans="1:2" ht="28" customHeight="1">
      <c r="A47" s="58" t="s">
        <v>597</v>
      </c>
      <c r="B47" s="30" t="s">
        <v>256</v>
      </c>
    </row>
    <row r="48" spans="1:2" ht="28" customHeight="1">
      <c r="A48" s="58"/>
      <c r="B48" s="32">
        <v>7.5</v>
      </c>
    </row>
    <row r="49" spans="1:2" ht="28" customHeight="1">
      <c r="A49" s="58" t="s">
        <v>623</v>
      </c>
      <c r="B49" s="30" t="s">
        <v>256</v>
      </c>
    </row>
    <row r="50" spans="1:2" ht="28" customHeight="1">
      <c r="A50" s="58"/>
      <c r="B50" s="32">
        <v>5</v>
      </c>
    </row>
    <row r="51" spans="1:2" ht="28" customHeight="1">
      <c r="A51" s="58" t="s">
        <v>634</v>
      </c>
      <c r="B51" s="30" t="s">
        <v>256</v>
      </c>
    </row>
    <row r="52" spans="1:2" ht="28" customHeight="1">
      <c r="A52" s="58"/>
      <c r="B52" s="32">
        <v>1</v>
      </c>
    </row>
  </sheetData>
  <mergeCells count="28">
    <mergeCell ref="A45:A46"/>
    <mergeCell ref="A47:A48"/>
    <mergeCell ref="A49:A50"/>
    <mergeCell ref="A51:A52"/>
    <mergeCell ref="A34:A35"/>
    <mergeCell ref="A36:A37"/>
    <mergeCell ref="A38:A39"/>
    <mergeCell ref="A40:B40"/>
    <mergeCell ref="A41:A42"/>
    <mergeCell ref="A43:A44"/>
    <mergeCell ref="A32:A33"/>
    <mergeCell ref="A12:A13"/>
    <mergeCell ref="A14:A15"/>
    <mergeCell ref="A16:B16"/>
    <mergeCell ref="A17:A18"/>
    <mergeCell ref="A19:A20"/>
    <mergeCell ref="A21:A22"/>
    <mergeCell ref="A23:A24"/>
    <mergeCell ref="A25:A26"/>
    <mergeCell ref="A27:A28"/>
    <mergeCell ref="A29:B29"/>
    <mergeCell ref="A30:A31"/>
    <mergeCell ref="A10:A11"/>
    <mergeCell ref="A1:B1"/>
    <mergeCell ref="A2:A3"/>
    <mergeCell ref="A4:A5"/>
    <mergeCell ref="A6:A7"/>
    <mergeCell ref="A8:A9"/>
  </mergeCells>
  <phoneticPr fontId="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06F42-6A6F-4B83-882E-22E971CD7AFD}">
  <dimension ref="A1:B52"/>
  <sheetViews>
    <sheetView workbookViewId="0">
      <selection sqref="A1:B1"/>
    </sheetView>
  </sheetViews>
  <sheetFormatPr defaultRowHeight="14"/>
  <cols>
    <col min="1" max="1" width="30" customWidth="1"/>
    <col min="2" max="2" width="16" customWidth="1"/>
  </cols>
  <sheetData>
    <row r="1" spans="1:2" ht="32" customHeight="1">
      <c r="A1" s="57" t="s">
        <v>353</v>
      </c>
      <c r="B1" s="57"/>
    </row>
    <row r="2" spans="1:2" ht="28" customHeight="1">
      <c r="A2" s="58" t="s">
        <v>354</v>
      </c>
      <c r="B2" s="30" t="s">
        <v>256</v>
      </c>
    </row>
    <row r="3" spans="1:2" ht="28" customHeight="1">
      <c r="A3" s="58"/>
      <c r="B3" s="32">
        <v>2</v>
      </c>
    </row>
    <row r="4" spans="1:2" ht="28" customHeight="1">
      <c r="A4" s="58" t="s">
        <v>357</v>
      </c>
      <c r="B4" s="30" t="s">
        <v>256</v>
      </c>
    </row>
    <row r="5" spans="1:2" ht="28" customHeight="1">
      <c r="A5" s="58"/>
      <c r="B5" s="32">
        <v>2</v>
      </c>
    </row>
    <row r="6" spans="1:2" ht="28" customHeight="1">
      <c r="A6" s="58" t="s">
        <v>362</v>
      </c>
      <c r="B6" s="30" t="s">
        <v>256</v>
      </c>
    </row>
    <row r="7" spans="1:2" ht="28" customHeight="1">
      <c r="A7" s="58"/>
      <c r="B7" s="32">
        <v>4</v>
      </c>
    </row>
    <row r="8" spans="1:2" ht="28" customHeight="1">
      <c r="A8" s="58" t="s">
        <v>369</v>
      </c>
      <c r="B8" s="30" t="s">
        <v>256</v>
      </c>
    </row>
    <row r="9" spans="1:2" ht="28" customHeight="1">
      <c r="A9" s="58"/>
      <c r="B9" s="32">
        <v>6</v>
      </c>
    </row>
    <row r="10" spans="1:2" ht="28" customHeight="1">
      <c r="A10" s="58" t="s">
        <v>381</v>
      </c>
      <c r="B10" s="30" t="s">
        <v>256</v>
      </c>
    </row>
    <row r="11" spans="1:2" ht="28" customHeight="1">
      <c r="A11" s="58"/>
      <c r="B11" s="32">
        <v>17</v>
      </c>
    </row>
    <row r="12" spans="1:2" ht="28" customHeight="1">
      <c r="A12" s="58" t="s">
        <v>392</v>
      </c>
      <c r="B12" s="30" t="s">
        <v>256</v>
      </c>
    </row>
    <row r="13" spans="1:2" ht="28" customHeight="1">
      <c r="A13" s="58"/>
      <c r="B13" s="32">
        <v>4</v>
      </c>
    </row>
    <row r="14" spans="1:2" ht="28" customHeight="1">
      <c r="A14" s="58" t="s">
        <v>404</v>
      </c>
      <c r="B14" s="30" t="s">
        <v>256</v>
      </c>
    </row>
    <row r="15" spans="1:2" ht="28" customHeight="1">
      <c r="A15" s="58"/>
      <c r="B15" s="32">
        <v>10</v>
      </c>
    </row>
    <row r="16" spans="1:2" ht="32" customHeight="1">
      <c r="A16" s="57" t="s">
        <v>417</v>
      </c>
      <c r="B16" s="57"/>
    </row>
    <row r="17" spans="1:2" ht="28" customHeight="1">
      <c r="A17" s="58" t="s">
        <v>418</v>
      </c>
      <c r="B17" s="30" t="s">
        <v>256</v>
      </c>
    </row>
    <row r="18" spans="1:2" ht="28" customHeight="1">
      <c r="A18" s="58"/>
      <c r="B18" s="32">
        <v>2</v>
      </c>
    </row>
    <row r="19" spans="1:2" ht="28" customHeight="1">
      <c r="A19" s="58" t="s">
        <v>424</v>
      </c>
      <c r="B19" s="30" t="s">
        <v>256</v>
      </c>
    </row>
    <row r="20" spans="1:2" ht="28" customHeight="1">
      <c r="A20" s="58"/>
      <c r="B20" s="32">
        <v>6</v>
      </c>
    </row>
    <row r="21" spans="1:2" ht="28" customHeight="1">
      <c r="A21" s="58" t="s">
        <v>434</v>
      </c>
      <c r="B21" s="30" t="s">
        <v>256</v>
      </c>
    </row>
    <row r="22" spans="1:2" ht="28" customHeight="1">
      <c r="A22" s="58"/>
      <c r="B22" s="32">
        <v>14.5</v>
      </c>
    </row>
    <row r="23" spans="1:2" ht="28" customHeight="1">
      <c r="A23" s="58" t="s">
        <v>453</v>
      </c>
      <c r="B23" s="30" t="s">
        <v>256</v>
      </c>
    </row>
    <row r="24" spans="1:2" ht="28" customHeight="1">
      <c r="A24" s="58"/>
      <c r="B24" s="32">
        <v>8</v>
      </c>
    </row>
    <row r="25" spans="1:2" ht="28" customHeight="1">
      <c r="A25" s="58" t="s">
        <v>463</v>
      </c>
      <c r="B25" s="30" t="s">
        <v>256</v>
      </c>
    </row>
    <row r="26" spans="1:2" ht="28" customHeight="1">
      <c r="A26" s="58"/>
      <c r="B26" s="32">
        <v>8.5</v>
      </c>
    </row>
    <row r="27" spans="1:2" ht="28" customHeight="1">
      <c r="A27" s="58" t="s">
        <v>479</v>
      </c>
      <c r="B27" s="30" t="s">
        <v>256</v>
      </c>
    </row>
    <row r="28" spans="1:2" ht="28" customHeight="1">
      <c r="A28" s="58"/>
      <c r="B28" s="32">
        <v>6</v>
      </c>
    </row>
    <row r="29" spans="1:2" ht="32" customHeight="1">
      <c r="A29" s="57" t="s">
        <v>488</v>
      </c>
      <c r="B29" s="57"/>
    </row>
    <row r="30" spans="1:2" ht="28" customHeight="1">
      <c r="A30" s="58" t="s">
        <v>489</v>
      </c>
      <c r="B30" s="30" t="s">
        <v>256</v>
      </c>
    </row>
    <row r="31" spans="1:2" ht="28" customHeight="1">
      <c r="A31" s="58"/>
      <c r="B31" s="32">
        <v>8</v>
      </c>
    </row>
    <row r="32" spans="1:2" ht="28" customHeight="1">
      <c r="A32" s="58" t="s">
        <v>500</v>
      </c>
      <c r="B32" s="30" t="s">
        <v>256</v>
      </c>
    </row>
    <row r="33" spans="1:2" ht="28" customHeight="1">
      <c r="A33" s="58"/>
      <c r="B33" s="32">
        <v>14</v>
      </c>
    </row>
    <row r="34" spans="1:2" ht="28" customHeight="1">
      <c r="A34" s="58" t="s">
        <v>522</v>
      </c>
      <c r="B34" s="30" t="s">
        <v>256</v>
      </c>
    </row>
    <row r="35" spans="1:2" ht="28" customHeight="1">
      <c r="A35" s="58"/>
      <c r="B35" s="32">
        <v>4</v>
      </c>
    </row>
    <row r="36" spans="1:2" ht="28" customHeight="1">
      <c r="A36" s="58" t="s">
        <v>534</v>
      </c>
      <c r="B36" s="30" t="s">
        <v>256</v>
      </c>
    </row>
    <row r="37" spans="1:2" ht="28" customHeight="1">
      <c r="A37" s="58"/>
      <c r="B37" s="32">
        <v>3</v>
      </c>
    </row>
    <row r="38" spans="1:2" ht="28" customHeight="1">
      <c r="A38" s="58" t="s">
        <v>549</v>
      </c>
      <c r="B38" s="30" t="s">
        <v>256</v>
      </c>
    </row>
    <row r="39" spans="1:2" ht="28" customHeight="1">
      <c r="A39" s="58"/>
      <c r="B39" s="32">
        <v>6</v>
      </c>
    </row>
    <row r="40" spans="1:2" ht="32" customHeight="1">
      <c r="A40" s="57" t="s">
        <v>560</v>
      </c>
      <c r="B40" s="57"/>
    </row>
    <row r="41" spans="1:2" ht="28" customHeight="1">
      <c r="A41" s="58" t="s">
        <v>561</v>
      </c>
      <c r="B41" s="30" t="s">
        <v>256</v>
      </c>
    </row>
    <row r="42" spans="1:2" ht="28" customHeight="1">
      <c r="A42" s="58"/>
      <c r="B42" s="32">
        <v>3.5</v>
      </c>
    </row>
    <row r="43" spans="1:2" ht="28" customHeight="1">
      <c r="A43" s="58" t="s">
        <v>568</v>
      </c>
      <c r="B43" s="30" t="s">
        <v>256</v>
      </c>
    </row>
    <row r="44" spans="1:2" ht="28" customHeight="1">
      <c r="A44" s="58"/>
      <c r="B44" s="32">
        <v>2</v>
      </c>
    </row>
    <row r="45" spans="1:2" ht="28" customHeight="1">
      <c r="A45" s="58" t="s">
        <v>578</v>
      </c>
      <c r="B45" s="30" t="s">
        <v>256</v>
      </c>
    </row>
    <row r="46" spans="1:2" ht="28" customHeight="1">
      <c r="A46" s="58"/>
      <c r="B46" s="32">
        <v>3</v>
      </c>
    </row>
    <row r="47" spans="1:2" ht="28" customHeight="1">
      <c r="A47" s="58" t="s">
        <v>597</v>
      </c>
      <c r="B47" s="30" t="s">
        <v>256</v>
      </c>
    </row>
    <row r="48" spans="1:2" ht="28" customHeight="1">
      <c r="A48" s="58"/>
      <c r="B48" s="32">
        <v>9</v>
      </c>
    </row>
    <row r="49" spans="1:2" ht="28" customHeight="1">
      <c r="A49" s="58" t="s">
        <v>623</v>
      </c>
      <c r="B49" s="30" t="s">
        <v>256</v>
      </c>
    </row>
    <row r="50" spans="1:2" ht="28" customHeight="1">
      <c r="A50" s="58"/>
      <c r="B50" s="32">
        <v>6</v>
      </c>
    </row>
    <row r="51" spans="1:2" ht="28" customHeight="1">
      <c r="A51" s="58" t="s">
        <v>634</v>
      </c>
      <c r="B51" s="30" t="s">
        <v>256</v>
      </c>
    </row>
    <row r="52" spans="1:2" ht="28" customHeight="1">
      <c r="A52" s="58"/>
      <c r="B52" s="32">
        <v>1.5</v>
      </c>
    </row>
  </sheetData>
  <mergeCells count="28">
    <mergeCell ref="A45:A46"/>
    <mergeCell ref="A47:A48"/>
    <mergeCell ref="A49:A50"/>
    <mergeCell ref="A51:A52"/>
    <mergeCell ref="A34:A35"/>
    <mergeCell ref="A36:A37"/>
    <mergeCell ref="A38:A39"/>
    <mergeCell ref="A40:B40"/>
    <mergeCell ref="A41:A42"/>
    <mergeCell ref="A43:A44"/>
    <mergeCell ref="A32:A33"/>
    <mergeCell ref="A12:A13"/>
    <mergeCell ref="A14:A15"/>
    <mergeCell ref="A16:B16"/>
    <mergeCell ref="A17:A18"/>
    <mergeCell ref="A19:A20"/>
    <mergeCell ref="A21:A22"/>
    <mergeCell ref="A23:A24"/>
    <mergeCell ref="A25:A26"/>
    <mergeCell ref="A27:A28"/>
    <mergeCell ref="A29:B29"/>
    <mergeCell ref="A30:A31"/>
    <mergeCell ref="A10:A11"/>
    <mergeCell ref="A1:B1"/>
    <mergeCell ref="A2:A3"/>
    <mergeCell ref="A4:A5"/>
    <mergeCell ref="A6:A7"/>
    <mergeCell ref="A8:A9"/>
  </mergeCells>
  <phoneticPr fontId="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106BF-7826-4D69-B226-7C5A40F571E4}">
  <dimension ref="A1:B52"/>
  <sheetViews>
    <sheetView workbookViewId="0">
      <selection sqref="A1:B1"/>
    </sheetView>
  </sheetViews>
  <sheetFormatPr defaultRowHeight="14"/>
  <cols>
    <col min="1" max="1" width="30" customWidth="1"/>
    <col min="2" max="2" width="16" customWidth="1"/>
  </cols>
  <sheetData>
    <row r="1" spans="1:2" ht="32" customHeight="1">
      <c r="A1" s="57" t="s">
        <v>353</v>
      </c>
      <c r="B1" s="57"/>
    </row>
    <row r="2" spans="1:2" ht="28" customHeight="1">
      <c r="A2" s="58" t="s">
        <v>354</v>
      </c>
      <c r="B2" s="30" t="s">
        <v>256</v>
      </c>
    </row>
    <row r="3" spans="1:2" ht="28" customHeight="1">
      <c r="A3" s="58"/>
      <c r="B3" s="32">
        <v>2</v>
      </c>
    </row>
    <row r="4" spans="1:2" ht="28" customHeight="1">
      <c r="A4" s="58" t="s">
        <v>357</v>
      </c>
      <c r="B4" s="30" t="s">
        <v>256</v>
      </c>
    </row>
    <row r="5" spans="1:2" ht="28" customHeight="1">
      <c r="A5" s="58"/>
      <c r="B5" s="32">
        <v>11</v>
      </c>
    </row>
    <row r="6" spans="1:2" ht="28" customHeight="1">
      <c r="A6" s="58" t="s">
        <v>362</v>
      </c>
      <c r="B6" s="30" t="s">
        <v>256</v>
      </c>
    </row>
    <row r="7" spans="1:2" ht="28" customHeight="1">
      <c r="A7" s="58"/>
      <c r="B7" s="32">
        <v>4</v>
      </c>
    </row>
    <row r="8" spans="1:2" ht="28" customHeight="1">
      <c r="A8" s="58" t="s">
        <v>369</v>
      </c>
      <c r="B8" s="30" t="s">
        <v>256</v>
      </c>
    </row>
    <row r="9" spans="1:2" ht="28" customHeight="1">
      <c r="A9" s="58"/>
      <c r="B9" s="32">
        <v>16</v>
      </c>
    </row>
    <row r="10" spans="1:2" ht="28" customHeight="1">
      <c r="A10" s="58" t="s">
        <v>381</v>
      </c>
      <c r="B10" s="30" t="s">
        <v>256</v>
      </c>
    </row>
    <row r="11" spans="1:2" ht="28" customHeight="1">
      <c r="A11" s="58"/>
      <c r="B11" s="32">
        <v>6</v>
      </c>
    </row>
    <row r="12" spans="1:2" ht="28" customHeight="1">
      <c r="A12" s="58" t="s">
        <v>392</v>
      </c>
      <c r="B12" s="30" t="s">
        <v>256</v>
      </c>
    </row>
    <row r="13" spans="1:2" ht="28" customHeight="1">
      <c r="A13" s="58"/>
      <c r="B13" s="32">
        <v>4</v>
      </c>
    </row>
    <row r="14" spans="1:2" ht="28" customHeight="1">
      <c r="A14" s="58" t="s">
        <v>404</v>
      </c>
      <c r="B14" s="30" t="s">
        <v>256</v>
      </c>
    </row>
    <row r="15" spans="1:2" ht="28" customHeight="1">
      <c r="A15" s="58"/>
      <c r="B15" s="32">
        <v>2</v>
      </c>
    </row>
    <row r="16" spans="1:2" ht="32" customHeight="1">
      <c r="A16" s="57" t="s">
        <v>417</v>
      </c>
      <c r="B16" s="57"/>
    </row>
    <row r="17" spans="1:2" ht="28" customHeight="1">
      <c r="A17" s="58" t="s">
        <v>418</v>
      </c>
      <c r="B17" s="30" t="s">
        <v>256</v>
      </c>
    </row>
    <row r="18" spans="1:2" ht="28" customHeight="1">
      <c r="A18" s="58"/>
      <c r="B18" s="32">
        <v>0</v>
      </c>
    </row>
    <row r="19" spans="1:2" ht="28" customHeight="1">
      <c r="A19" s="58" t="s">
        <v>424</v>
      </c>
      <c r="B19" s="30" t="s">
        <v>256</v>
      </c>
    </row>
    <row r="20" spans="1:2" ht="28" customHeight="1">
      <c r="A20" s="58"/>
      <c r="B20" s="32">
        <v>15</v>
      </c>
    </row>
    <row r="21" spans="1:2" ht="28" customHeight="1">
      <c r="A21" s="58" t="s">
        <v>434</v>
      </c>
      <c r="B21" s="30" t="s">
        <v>256</v>
      </c>
    </row>
    <row r="22" spans="1:2" ht="28" customHeight="1">
      <c r="A22" s="58"/>
      <c r="B22" s="32">
        <v>12</v>
      </c>
    </row>
    <row r="23" spans="1:2" ht="28" customHeight="1">
      <c r="A23" s="58" t="s">
        <v>453</v>
      </c>
      <c r="B23" s="30" t="s">
        <v>256</v>
      </c>
    </row>
    <row r="24" spans="1:2" ht="28" customHeight="1">
      <c r="A24" s="58"/>
      <c r="B24" s="32">
        <v>4</v>
      </c>
    </row>
    <row r="25" spans="1:2" ht="28" customHeight="1">
      <c r="A25" s="58" t="s">
        <v>463</v>
      </c>
      <c r="B25" s="30" t="s">
        <v>256</v>
      </c>
    </row>
    <row r="26" spans="1:2" ht="28" customHeight="1">
      <c r="A26" s="58"/>
      <c r="B26" s="32">
        <v>8</v>
      </c>
    </row>
    <row r="27" spans="1:2" ht="28" customHeight="1">
      <c r="A27" s="58" t="s">
        <v>479</v>
      </c>
      <c r="B27" s="30" t="s">
        <v>256</v>
      </c>
    </row>
    <row r="28" spans="1:2" ht="28" customHeight="1">
      <c r="A28" s="58"/>
      <c r="B28" s="32">
        <v>6</v>
      </c>
    </row>
    <row r="29" spans="1:2" ht="32" customHeight="1">
      <c r="A29" s="57" t="s">
        <v>488</v>
      </c>
      <c r="B29" s="57"/>
    </row>
    <row r="30" spans="1:2" ht="28" customHeight="1">
      <c r="A30" s="58" t="s">
        <v>489</v>
      </c>
      <c r="B30" s="30" t="s">
        <v>256</v>
      </c>
    </row>
    <row r="31" spans="1:2" ht="28" customHeight="1">
      <c r="A31" s="58"/>
      <c r="B31" s="32">
        <v>2</v>
      </c>
    </row>
    <row r="32" spans="1:2" ht="28" customHeight="1">
      <c r="A32" s="58" t="s">
        <v>500</v>
      </c>
      <c r="B32" s="30" t="s">
        <v>256</v>
      </c>
    </row>
    <row r="33" spans="1:2" ht="28" customHeight="1">
      <c r="A33" s="58"/>
      <c r="B33" s="32">
        <v>15</v>
      </c>
    </row>
    <row r="34" spans="1:2" ht="28" customHeight="1">
      <c r="A34" s="58" t="s">
        <v>522</v>
      </c>
      <c r="B34" s="30" t="s">
        <v>256</v>
      </c>
    </row>
    <row r="35" spans="1:2" ht="28" customHeight="1">
      <c r="A35" s="58"/>
      <c r="B35" s="32">
        <v>10</v>
      </c>
    </row>
    <row r="36" spans="1:2" ht="28" customHeight="1">
      <c r="A36" s="58" t="s">
        <v>534</v>
      </c>
      <c r="B36" s="30" t="s">
        <v>256</v>
      </c>
    </row>
    <row r="37" spans="1:2" ht="28" customHeight="1">
      <c r="A37" s="58"/>
      <c r="B37" s="32">
        <v>6</v>
      </c>
    </row>
    <row r="38" spans="1:2" ht="28" customHeight="1">
      <c r="A38" s="58" t="s">
        <v>549</v>
      </c>
      <c r="B38" s="30" t="s">
        <v>256</v>
      </c>
    </row>
    <row r="39" spans="1:2" ht="28" customHeight="1">
      <c r="A39" s="58"/>
      <c r="B39" s="32">
        <v>2</v>
      </c>
    </row>
    <row r="40" spans="1:2" ht="32" customHeight="1">
      <c r="A40" s="57" t="s">
        <v>560</v>
      </c>
      <c r="B40" s="57"/>
    </row>
    <row r="41" spans="1:2" ht="28" customHeight="1">
      <c r="A41" s="58" t="s">
        <v>561</v>
      </c>
      <c r="B41" s="30" t="s">
        <v>256</v>
      </c>
    </row>
    <row r="42" spans="1:2" ht="28" customHeight="1">
      <c r="A42" s="58"/>
      <c r="B42" s="32">
        <v>2</v>
      </c>
    </row>
    <row r="43" spans="1:2" ht="28" customHeight="1">
      <c r="A43" s="58" t="s">
        <v>568</v>
      </c>
      <c r="B43" s="30" t="s">
        <v>256</v>
      </c>
    </row>
    <row r="44" spans="1:2" ht="28" customHeight="1">
      <c r="A44" s="58"/>
      <c r="B44" s="32">
        <v>3</v>
      </c>
    </row>
    <row r="45" spans="1:2" ht="28" customHeight="1">
      <c r="A45" s="58" t="s">
        <v>578</v>
      </c>
      <c r="B45" s="30" t="s">
        <v>256</v>
      </c>
    </row>
    <row r="46" spans="1:2" ht="28" customHeight="1">
      <c r="A46" s="58"/>
      <c r="B46" s="32">
        <v>5</v>
      </c>
    </row>
    <row r="47" spans="1:2" ht="28" customHeight="1">
      <c r="A47" s="58" t="s">
        <v>597</v>
      </c>
      <c r="B47" s="30" t="s">
        <v>256</v>
      </c>
    </row>
    <row r="48" spans="1:2" ht="28" customHeight="1">
      <c r="A48" s="58"/>
      <c r="B48" s="32">
        <v>9</v>
      </c>
    </row>
    <row r="49" spans="1:2" ht="28" customHeight="1">
      <c r="A49" s="58" t="s">
        <v>623</v>
      </c>
      <c r="B49" s="30" t="s">
        <v>256</v>
      </c>
    </row>
    <row r="50" spans="1:2" ht="28" customHeight="1">
      <c r="A50" s="58"/>
      <c r="B50" s="32">
        <v>4</v>
      </c>
    </row>
    <row r="51" spans="1:2" ht="28" customHeight="1">
      <c r="A51" s="58" t="s">
        <v>634</v>
      </c>
      <c r="B51" s="30" t="s">
        <v>256</v>
      </c>
    </row>
    <row r="52" spans="1:2" ht="28" customHeight="1">
      <c r="A52" s="58"/>
      <c r="B52" s="32">
        <v>2</v>
      </c>
    </row>
  </sheetData>
  <mergeCells count="28">
    <mergeCell ref="A45:A46"/>
    <mergeCell ref="A47:A48"/>
    <mergeCell ref="A49:A50"/>
    <mergeCell ref="A51:A52"/>
    <mergeCell ref="A34:A35"/>
    <mergeCell ref="A36:A37"/>
    <mergeCell ref="A38:A39"/>
    <mergeCell ref="A40:B40"/>
    <mergeCell ref="A41:A42"/>
    <mergeCell ref="A43:A44"/>
    <mergeCell ref="A32:A33"/>
    <mergeCell ref="A12:A13"/>
    <mergeCell ref="A14:A15"/>
    <mergeCell ref="A16:B16"/>
    <mergeCell ref="A17:A18"/>
    <mergeCell ref="A19:A20"/>
    <mergeCell ref="A21:A22"/>
    <mergeCell ref="A23:A24"/>
    <mergeCell ref="A25:A26"/>
    <mergeCell ref="A27:A28"/>
    <mergeCell ref="A29:B29"/>
    <mergeCell ref="A30:A31"/>
    <mergeCell ref="A10:A11"/>
    <mergeCell ref="A1:B1"/>
    <mergeCell ref="A2:A3"/>
    <mergeCell ref="A4:A5"/>
    <mergeCell ref="A6:A7"/>
    <mergeCell ref="A8:A9"/>
  </mergeCells>
  <phoneticPr fontId="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38AB-8EAC-4A77-A362-72F4ED991493}">
  <dimension ref="A1:B52"/>
  <sheetViews>
    <sheetView workbookViewId="0">
      <selection sqref="A1:B1"/>
    </sheetView>
  </sheetViews>
  <sheetFormatPr defaultRowHeight="14"/>
  <cols>
    <col min="1" max="1" width="30" customWidth="1"/>
    <col min="2" max="2" width="16" customWidth="1"/>
  </cols>
  <sheetData>
    <row r="1" spans="1:2" ht="32" customHeight="1">
      <c r="A1" s="57" t="s">
        <v>353</v>
      </c>
      <c r="B1" s="57"/>
    </row>
    <row r="2" spans="1:2" ht="28" customHeight="1">
      <c r="A2" s="58" t="s">
        <v>354</v>
      </c>
      <c r="B2" s="30" t="s">
        <v>256</v>
      </c>
    </row>
    <row r="3" spans="1:2" ht="28" customHeight="1">
      <c r="A3" s="58"/>
      <c r="B3" s="32">
        <v>4</v>
      </c>
    </row>
    <row r="4" spans="1:2" ht="28" customHeight="1">
      <c r="A4" s="58" t="s">
        <v>357</v>
      </c>
      <c r="B4" s="30" t="s">
        <v>256</v>
      </c>
    </row>
    <row r="5" spans="1:2" ht="28" customHeight="1">
      <c r="A5" s="58"/>
      <c r="B5" s="32">
        <v>11</v>
      </c>
    </row>
    <row r="6" spans="1:2" ht="28" customHeight="1">
      <c r="A6" s="58" t="s">
        <v>362</v>
      </c>
      <c r="B6" s="30" t="s">
        <v>256</v>
      </c>
    </row>
    <row r="7" spans="1:2" ht="28" customHeight="1">
      <c r="A7" s="58"/>
      <c r="B7" s="32">
        <v>10</v>
      </c>
    </row>
    <row r="8" spans="1:2" ht="28" customHeight="1">
      <c r="A8" s="58" t="s">
        <v>369</v>
      </c>
      <c r="B8" s="30" t="s">
        <v>256</v>
      </c>
    </row>
    <row r="9" spans="1:2" ht="28" customHeight="1">
      <c r="A9" s="58"/>
      <c r="B9" s="32">
        <v>4</v>
      </c>
    </row>
    <row r="10" spans="1:2" ht="28" customHeight="1">
      <c r="A10" s="58" t="s">
        <v>381</v>
      </c>
      <c r="B10" s="30" t="s">
        <v>256</v>
      </c>
    </row>
    <row r="11" spans="1:2" ht="28" customHeight="1">
      <c r="A11" s="58"/>
      <c r="B11" s="32">
        <v>4</v>
      </c>
    </row>
    <row r="12" spans="1:2" ht="28" customHeight="1">
      <c r="A12" s="58" t="s">
        <v>392</v>
      </c>
      <c r="B12" s="30" t="s">
        <v>256</v>
      </c>
    </row>
    <row r="13" spans="1:2" ht="28" customHeight="1">
      <c r="A13" s="58"/>
      <c r="B13" s="32">
        <v>6</v>
      </c>
    </row>
    <row r="14" spans="1:2" ht="28" customHeight="1">
      <c r="A14" s="58" t="s">
        <v>404</v>
      </c>
      <c r="B14" s="30" t="s">
        <v>256</v>
      </c>
    </row>
    <row r="15" spans="1:2" ht="28" customHeight="1">
      <c r="A15" s="58"/>
      <c r="B15" s="32">
        <v>6</v>
      </c>
    </row>
    <row r="16" spans="1:2" ht="32" customHeight="1">
      <c r="A16" s="57" t="s">
        <v>417</v>
      </c>
      <c r="B16" s="57"/>
    </row>
    <row r="17" spans="1:2" ht="28" customHeight="1">
      <c r="A17" s="58" t="s">
        <v>418</v>
      </c>
      <c r="B17" s="30" t="s">
        <v>256</v>
      </c>
    </row>
    <row r="18" spans="1:2" ht="28" customHeight="1">
      <c r="A18" s="58"/>
      <c r="B18" s="32">
        <v>2</v>
      </c>
    </row>
    <row r="19" spans="1:2" ht="28" customHeight="1">
      <c r="A19" s="58" t="s">
        <v>424</v>
      </c>
      <c r="B19" s="30" t="s">
        <v>256</v>
      </c>
    </row>
    <row r="20" spans="1:2" ht="28" customHeight="1">
      <c r="A20" s="58"/>
      <c r="B20" s="32">
        <v>7.5</v>
      </c>
    </row>
    <row r="21" spans="1:2" ht="28" customHeight="1">
      <c r="A21" s="58" t="s">
        <v>434</v>
      </c>
      <c r="B21" s="30" t="s">
        <v>256</v>
      </c>
    </row>
    <row r="22" spans="1:2" ht="28" customHeight="1">
      <c r="A22" s="58"/>
      <c r="B22" s="32">
        <v>9</v>
      </c>
    </row>
    <row r="23" spans="1:2" ht="28" customHeight="1">
      <c r="A23" s="58" t="s">
        <v>453</v>
      </c>
      <c r="B23" s="30" t="s">
        <v>256</v>
      </c>
    </row>
    <row r="24" spans="1:2" ht="28" customHeight="1">
      <c r="A24" s="58"/>
      <c r="B24" s="32">
        <v>10</v>
      </c>
    </row>
    <row r="25" spans="1:2" ht="28" customHeight="1">
      <c r="A25" s="58" t="s">
        <v>463</v>
      </c>
      <c r="B25" s="30" t="s">
        <v>256</v>
      </c>
    </row>
    <row r="26" spans="1:2" ht="28" customHeight="1">
      <c r="A26" s="58"/>
      <c r="B26" s="32">
        <v>10.5</v>
      </c>
    </row>
    <row r="27" spans="1:2" ht="28" customHeight="1">
      <c r="A27" s="58" t="s">
        <v>479</v>
      </c>
      <c r="B27" s="30" t="s">
        <v>256</v>
      </c>
    </row>
    <row r="28" spans="1:2" ht="28" customHeight="1">
      <c r="A28" s="58"/>
      <c r="B28" s="32">
        <v>6</v>
      </c>
    </row>
    <row r="29" spans="1:2" ht="32" customHeight="1">
      <c r="A29" s="57" t="s">
        <v>488</v>
      </c>
      <c r="B29" s="57"/>
    </row>
    <row r="30" spans="1:2" ht="28" customHeight="1">
      <c r="A30" s="58" t="s">
        <v>489</v>
      </c>
      <c r="B30" s="30" t="s">
        <v>256</v>
      </c>
    </row>
    <row r="31" spans="1:2" ht="28" customHeight="1">
      <c r="A31" s="58"/>
      <c r="B31" s="32">
        <v>2</v>
      </c>
    </row>
    <row r="32" spans="1:2" ht="28" customHeight="1">
      <c r="A32" s="58" t="s">
        <v>500</v>
      </c>
      <c r="B32" s="30" t="s">
        <v>256</v>
      </c>
    </row>
    <row r="33" spans="1:2" ht="28" customHeight="1">
      <c r="A33" s="58"/>
      <c r="B33" s="32">
        <v>16</v>
      </c>
    </row>
    <row r="34" spans="1:2" ht="28" customHeight="1">
      <c r="A34" s="58" t="s">
        <v>522</v>
      </c>
      <c r="B34" s="30" t="s">
        <v>256</v>
      </c>
    </row>
    <row r="35" spans="1:2" ht="28" customHeight="1">
      <c r="A35" s="58"/>
      <c r="B35" s="32">
        <v>8</v>
      </c>
    </row>
    <row r="36" spans="1:2" ht="28" customHeight="1">
      <c r="A36" s="58" t="s">
        <v>534</v>
      </c>
      <c r="B36" s="30" t="s">
        <v>256</v>
      </c>
    </row>
    <row r="37" spans="1:2" ht="28" customHeight="1">
      <c r="A37" s="58"/>
      <c r="B37" s="32">
        <v>2</v>
      </c>
    </row>
    <row r="38" spans="1:2" ht="28" customHeight="1">
      <c r="A38" s="58" t="s">
        <v>549</v>
      </c>
      <c r="B38" s="30" t="s">
        <v>256</v>
      </c>
    </row>
    <row r="39" spans="1:2" ht="28" customHeight="1">
      <c r="A39" s="58"/>
      <c r="B39" s="32">
        <v>7</v>
      </c>
    </row>
    <row r="40" spans="1:2" ht="32" customHeight="1">
      <c r="A40" s="57" t="s">
        <v>560</v>
      </c>
      <c r="B40" s="57"/>
    </row>
    <row r="41" spans="1:2" ht="28" customHeight="1">
      <c r="A41" s="58" t="s">
        <v>561</v>
      </c>
      <c r="B41" s="30" t="s">
        <v>256</v>
      </c>
    </row>
    <row r="42" spans="1:2" ht="28" customHeight="1">
      <c r="A42" s="58"/>
      <c r="B42" s="32">
        <v>2</v>
      </c>
    </row>
    <row r="43" spans="1:2" ht="28" customHeight="1">
      <c r="A43" s="58" t="s">
        <v>568</v>
      </c>
      <c r="B43" s="30" t="s">
        <v>256</v>
      </c>
    </row>
    <row r="44" spans="1:2" ht="28" customHeight="1">
      <c r="A44" s="58"/>
      <c r="B44" s="32">
        <v>2</v>
      </c>
    </row>
    <row r="45" spans="1:2" ht="28" customHeight="1">
      <c r="A45" s="58" t="s">
        <v>578</v>
      </c>
      <c r="B45" s="30" t="s">
        <v>256</v>
      </c>
    </row>
    <row r="46" spans="1:2" ht="28" customHeight="1">
      <c r="A46" s="58"/>
      <c r="B46" s="32">
        <v>5</v>
      </c>
    </row>
    <row r="47" spans="1:2" ht="28" customHeight="1">
      <c r="A47" s="58" t="s">
        <v>597</v>
      </c>
      <c r="B47" s="30" t="s">
        <v>256</v>
      </c>
    </row>
    <row r="48" spans="1:2" ht="28" customHeight="1">
      <c r="A48" s="58"/>
      <c r="B48" s="32">
        <v>10</v>
      </c>
    </row>
    <row r="49" spans="1:2" ht="28" customHeight="1">
      <c r="A49" s="58" t="s">
        <v>623</v>
      </c>
      <c r="B49" s="30" t="s">
        <v>256</v>
      </c>
    </row>
    <row r="50" spans="1:2" ht="28" customHeight="1">
      <c r="A50" s="58"/>
      <c r="B50" s="32">
        <v>4</v>
      </c>
    </row>
    <row r="51" spans="1:2" ht="28" customHeight="1">
      <c r="A51" s="58" t="s">
        <v>634</v>
      </c>
      <c r="B51" s="30" t="s">
        <v>256</v>
      </c>
    </row>
    <row r="52" spans="1:2" ht="28" customHeight="1">
      <c r="A52" s="58"/>
      <c r="B52" s="32">
        <v>2</v>
      </c>
    </row>
  </sheetData>
  <mergeCells count="28">
    <mergeCell ref="A45:A46"/>
    <mergeCell ref="A47:A48"/>
    <mergeCell ref="A49:A50"/>
    <mergeCell ref="A51:A52"/>
    <mergeCell ref="A34:A35"/>
    <mergeCell ref="A36:A37"/>
    <mergeCell ref="A38:A39"/>
    <mergeCell ref="A40:B40"/>
    <mergeCell ref="A41:A42"/>
    <mergeCell ref="A43:A44"/>
    <mergeCell ref="A32:A33"/>
    <mergeCell ref="A12:A13"/>
    <mergeCell ref="A14:A15"/>
    <mergeCell ref="A16:B16"/>
    <mergeCell ref="A17:A18"/>
    <mergeCell ref="A19:A20"/>
    <mergeCell ref="A21:A22"/>
    <mergeCell ref="A23:A24"/>
    <mergeCell ref="A25:A26"/>
    <mergeCell ref="A27:A28"/>
    <mergeCell ref="A29:B29"/>
    <mergeCell ref="A30:A31"/>
    <mergeCell ref="A10:A11"/>
    <mergeCell ref="A1:B1"/>
    <mergeCell ref="A2:A3"/>
    <mergeCell ref="A4:A5"/>
    <mergeCell ref="A6:A7"/>
    <mergeCell ref="A8:A9"/>
  </mergeCells>
  <phoneticPr fontId="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154E1-B488-4CE1-8F97-6BBD5F9CAD4B}">
  <dimension ref="A1:B52"/>
  <sheetViews>
    <sheetView workbookViewId="0">
      <selection sqref="A1:B1"/>
    </sheetView>
  </sheetViews>
  <sheetFormatPr defaultRowHeight="14"/>
  <cols>
    <col min="1" max="1" width="30" customWidth="1"/>
    <col min="2" max="2" width="16" customWidth="1"/>
  </cols>
  <sheetData>
    <row r="1" spans="1:2" ht="32" customHeight="1">
      <c r="A1" s="57" t="s">
        <v>353</v>
      </c>
      <c r="B1" s="57"/>
    </row>
    <row r="2" spans="1:2" ht="28" customHeight="1">
      <c r="A2" s="58" t="s">
        <v>354</v>
      </c>
      <c r="B2" s="30" t="s">
        <v>256</v>
      </c>
    </row>
    <row r="3" spans="1:2" ht="28" customHeight="1">
      <c r="A3" s="58"/>
      <c r="B3" s="32">
        <v>2</v>
      </c>
    </row>
    <row r="4" spans="1:2" ht="28" customHeight="1">
      <c r="A4" s="58" t="s">
        <v>357</v>
      </c>
      <c r="B4" s="30" t="s">
        <v>256</v>
      </c>
    </row>
    <row r="5" spans="1:2" ht="28" customHeight="1">
      <c r="A5" s="58"/>
      <c r="B5" s="32">
        <v>11</v>
      </c>
    </row>
    <row r="6" spans="1:2" ht="28" customHeight="1">
      <c r="A6" s="58" t="s">
        <v>362</v>
      </c>
      <c r="B6" s="30" t="s">
        <v>256</v>
      </c>
    </row>
    <row r="7" spans="1:2" ht="28" customHeight="1">
      <c r="A7" s="58"/>
      <c r="B7" s="32">
        <v>6</v>
      </c>
    </row>
    <row r="8" spans="1:2" ht="28" customHeight="1">
      <c r="A8" s="58" t="s">
        <v>369</v>
      </c>
      <c r="B8" s="30" t="s">
        <v>256</v>
      </c>
    </row>
    <row r="9" spans="1:2" ht="28" customHeight="1">
      <c r="A9" s="58"/>
      <c r="B9" s="32">
        <v>6</v>
      </c>
    </row>
    <row r="10" spans="1:2" ht="28" customHeight="1">
      <c r="A10" s="58" t="s">
        <v>381</v>
      </c>
      <c r="B10" s="30" t="s">
        <v>256</v>
      </c>
    </row>
    <row r="11" spans="1:2" ht="28" customHeight="1">
      <c r="A11" s="58"/>
      <c r="B11" s="32">
        <v>12</v>
      </c>
    </row>
    <row r="12" spans="1:2" ht="28" customHeight="1">
      <c r="A12" s="58" t="s">
        <v>392</v>
      </c>
      <c r="B12" s="30" t="s">
        <v>256</v>
      </c>
    </row>
    <row r="13" spans="1:2" ht="28" customHeight="1">
      <c r="A13" s="58"/>
      <c r="B13" s="32">
        <v>6</v>
      </c>
    </row>
    <row r="14" spans="1:2" ht="28" customHeight="1">
      <c r="A14" s="58" t="s">
        <v>404</v>
      </c>
      <c r="B14" s="30" t="s">
        <v>256</v>
      </c>
    </row>
    <row r="15" spans="1:2" ht="28" customHeight="1">
      <c r="A15" s="58"/>
      <c r="B15" s="32">
        <v>2</v>
      </c>
    </row>
    <row r="16" spans="1:2" ht="32" customHeight="1">
      <c r="A16" s="57" t="s">
        <v>417</v>
      </c>
      <c r="B16" s="57"/>
    </row>
    <row r="17" spans="1:2" ht="28" customHeight="1">
      <c r="A17" s="58" t="s">
        <v>418</v>
      </c>
      <c r="B17" s="30" t="s">
        <v>256</v>
      </c>
    </row>
    <row r="18" spans="1:2" ht="28" customHeight="1">
      <c r="A18" s="58"/>
      <c r="B18" s="32">
        <v>2</v>
      </c>
    </row>
    <row r="19" spans="1:2" ht="28" customHeight="1">
      <c r="A19" s="58" t="s">
        <v>424</v>
      </c>
      <c r="B19" s="30" t="s">
        <v>256</v>
      </c>
    </row>
    <row r="20" spans="1:2" ht="28" customHeight="1">
      <c r="A20" s="58"/>
      <c r="B20" s="32">
        <v>9</v>
      </c>
    </row>
    <row r="21" spans="1:2" ht="28" customHeight="1">
      <c r="A21" s="58" t="s">
        <v>434</v>
      </c>
      <c r="B21" s="30" t="s">
        <v>256</v>
      </c>
    </row>
    <row r="22" spans="1:2" ht="28" customHeight="1">
      <c r="A22" s="58"/>
      <c r="B22" s="32">
        <v>17</v>
      </c>
    </row>
    <row r="23" spans="1:2" ht="28" customHeight="1">
      <c r="A23" s="58" t="s">
        <v>453</v>
      </c>
      <c r="B23" s="30" t="s">
        <v>256</v>
      </c>
    </row>
    <row r="24" spans="1:2" ht="28" customHeight="1">
      <c r="A24" s="58"/>
      <c r="B24" s="32">
        <v>3</v>
      </c>
    </row>
    <row r="25" spans="1:2" ht="28" customHeight="1">
      <c r="A25" s="58" t="s">
        <v>463</v>
      </c>
      <c r="B25" s="30" t="s">
        <v>256</v>
      </c>
    </row>
    <row r="26" spans="1:2" ht="28" customHeight="1">
      <c r="A26" s="58"/>
      <c r="B26" s="32">
        <v>2</v>
      </c>
    </row>
    <row r="27" spans="1:2" ht="28" customHeight="1">
      <c r="A27" s="58" t="s">
        <v>479</v>
      </c>
      <c r="B27" s="30" t="s">
        <v>256</v>
      </c>
    </row>
    <row r="28" spans="1:2" ht="28" customHeight="1">
      <c r="A28" s="58"/>
      <c r="B28" s="32">
        <v>12</v>
      </c>
    </row>
    <row r="29" spans="1:2" ht="32" customHeight="1">
      <c r="A29" s="57" t="s">
        <v>488</v>
      </c>
      <c r="B29" s="57"/>
    </row>
    <row r="30" spans="1:2" ht="28" customHeight="1">
      <c r="A30" s="58" t="s">
        <v>489</v>
      </c>
      <c r="B30" s="30" t="s">
        <v>256</v>
      </c>
    </row>
    <row r="31" spans="1:2" ht="28" customHeight="1">
      <c r="A31" s="58"/>
      <c r="B31" s="32">
        <v>3</v>
      </c>
    </row>
    <row r="32" spans="1:2" ht="28" customHeight="1">
      <c r="A32" s="58" t="s">
        <v>500</v>
      </c>
      <c r="B32" s="30" t="s">
        <v>256</v>
      </c>
    </row>
    <row r="33" spans="1:2" ht="28" customHeight="1">
      <c r="A33" s="58"/>
      <c r="B33" s="32">
        <v>15</v>
      </c>
    </row>
    <row r="34" spans="1:2" ht="28" customHeight="1">
      <c r="A34" s="58" t="s">
        <v>522</v>
      </c>
      <c r="B34" s="30" t="s">
        <v>256</v>
      </c>
    </row>
    <row r="35" spans="1:2" ht="28" customHeight="1">
      <c r="A35" s="58"/>
      <c r="B35" s="32">
        <v>6</v>
      </c>
    </row>
    <row r="36" spans="1:2" ht="28" customHeight="1">
      <c r="A36" s="58" t="s">
        <v>534</v>
      </c>
      <c r="B36" s="30" t="s">
        <v>256</v>
      </c>
    </row>
    <row r="37" spans="1:2" ht="28" customHeight="1">
      <c r="A37" s="58"/>
      <c r="B37" s="32">
        <v>9</v>
      </c>
    </row>
    <row r="38" spans="1:2" ht="28" customHeight="1">
      <c r="A38" s="58" t="s">
        <v>549</v>
      </c>
      <c r="B38" s="30" t="s">
        <v>256</v>
      </c>
    </row>
    <row r="39" spans="1:2" ht="28" customHeight="1">
      <c r="A39" s="58"/>
      <c r="B39" s="32">
        <v>2</v>
      </c>
    </row>
    <row r="40" spans="1:2" ht="32" customHeight="1">
      <c r="A40" s="57" t="s">
        <v>560</v>
      </c>
      <c r="B40" s="57"/>
    </row>
    <row r="41" spans="1:2" ht="28" customHeight="1">
      <c r="A41" s="58" t="s">
        <v>561</v>
      </c>
      <c r="B41" s="30" t="s">
        <v>256</v>
      </c>
    </row>
    <row r="42" spans="1:2" ht="28" customHeight="1">
      <c r="A42" s="58"/>
      <c r="B42" s="32">
        <v>0</v>
      </c>
    </row>
    <row r="43" spans="1:2" ht="28" customHeight="1">
      <c r="A43" s="58" t="s">
        <v>568</v>
      </c>
      <c r="B43" s="30" t="s">
        <v>256</v>
      </c>
    </row>
    <row r="44" spans="1:2" ht="28" customHeight="1">
      <c r="A44" s="58"/>
      <c r="B44" s="32">
        <v>2</v>
      </c>
    </row>
    <row r="45" spans="1:2" ht="28" customHeight="1">
      <c r="A45" s="58" t="s">
        <v>578</v>
      </c>
      <c r="B45" s="30" t="s">
        <v>256</v>
      </c>
    </row>
    <row r="46" spans="1:2" ht="28" customHeight="1">
      <c r="A46" s="58"/>
      <c r="B46" s="32">
        <v>5</v>
      </c>
    </row>
    <row r="47" spans="1:2" ht="28" customHeight="1">
      <c r="A47" s="58" t="s">
        <v>597</v>
      </c>
      <c r="B47" s="30" t="s">
        <v>256</v>
      </c>
    </row>
    <row r="48" spans="1:2" ht="28" customHeight="1">
      <c r="A48" s="58"/>
      <c r="B48" s="32">
        <v>12</v>
      </c>
    </row>
    <row r="49" spans="1:2" ht="28" customHeight="1">
      <c r="A49" s="58" t="s">
        <v>623</v>
      </c>
      <c r="B49" s="30" t="s">
        <v>256</v>
      </c>
    </row>
    <row r="50" spans="1:2" ht="28" customHeight="1">
      <c r="A50" s="58"/>
      <c r="B50" s="32">
        <v>2</v>
      </c>
    </row>
    <row r="51" spans="1:2" ht="28" customHeight="1">
      <c r="A51" s="58" t="s">
        <v>634</v>
      </c>
      <c r="B51" s="30" t="s">
        <v>256</v>
      </c>
    </row>
    <row r="52" spans="1:2" ht="28" customHeight="1">
      <c r="A52" s="58"/>
      <c r="B52" s="32">
        <v>4</v>
      </c>
    </row>
  </sheetData>
  <mergeCells count="28">
    <mergeCell ref="A45:A46"/>
    <mergeCell ref="A47:A48"/>
    <mergeCell ref="A49:A50"/>
    <mergeCell ref="A51:A52"/>
    <mergeCell ref="A34:A35"/>
    <mergeCell ref="A36:A37"/>
    <mergeCell ref="A38:A39"/>
    <mergeCell ref="A40:B40"/>
    <mergeCell ref="A41:A42"/>
    <mergeCell ref="A43:A44"/>
    <mergeCell ref="A32:A33"/>
    <mergeCell ref="A12:A13"/>
    <mergeCell ref="A14:A15"/>
    <mergeCell ref="A16:B16"/>
    <mergeCell ref="A17:A18"/>
    <mergeCell ref="A19:A20"/>
    <mergeCell ref="A21:A22"/>
    <mergeCell ref="A23:A24"/>
    <mergeCell ref="A25:A26"/>
    <mergeCell ref="A27:A28"/>
    <mergeCell ref="A29:B29"/>
    <mergeCell ref="A30:A31"/>
    <mergeCell ref="A10:A11"/>
    <mergeCell ref="A1:B1"/>
    <mergeCell ref="A2:A3"/>
    <mergeCell ref="A4:A5"/>
    <mergeCell ref="A6:A7"/>
    <mergeCell ref="A8:A9"/>
  </mergeCells>
  <phoneticPr fontId="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3582-78E9-4FE2-86D5-EEAD8AADA5F4}">
  <dimension ref="A1:B52"/>
  <sheetViews>
    <sheetView workbookViewId="0">
      <selection sqref="A1:B1"/>
    </sheetView>
  </sheetViews>
  <sheetFormatPr defaultRowHeight="14"/>
  <cols>
    <col min="1" max="1" width="30" customWidth="1"/>
    <col min="2" max="2" width="16" customWidth="1"/>
  </cols>
  <sheetData>
    <row r="1" spans="1:2" ht="32" customHeight="1">
      <c r="A1" s="57" t="s">
        <v>353</v>
      </c>
      <c r="B1" s="57"/>
    </row>
    <row r="2" spans="1:2" ht="28" customHeight="1">
      <c r="A2" s="58" t="s">
        <v>354</v>
      </c>
      <c r="B2" s="30" t="s">
        <v>256</v>
      </c>
    </row>
    <row r="3" spans="1:2" ht="28" customHeight="1">
      <c r="A3" s="58"/>
      <c r="B3" s="32">
        <v>2</v>
      </c>
    </row>
    <row r="4" spans="1:2" ht="28" customHeight="1">
      <c r="A4" s="58" t="s">
        <v>357</v>
      </c>
      <c r="B4" s="30" t="s">
        <v>256</v>
      </c>
    </row>
    <row r="5" spans="1:2" ht="28" customHeight="1">
      <c r="A5" s="58"/>
      <c r="B5" s="32">
        <v>0</v>
      </c>
    </row>
    <row r="6" spans="1:2" ht="28" customHeight="1">
      <c r="A6" s="58" t="s">
        <v>362</v>
      </c>
      <c r="B6" s="30" t="s">
        <v>256</v>
      </c>
    </row>
    <row r="7" spans="1:2" ht="28" customHeight="1">
      <c r="A7" s="58"/>
      <c r="B7" s="32">
        <v>4</v>
      </c>
    </row>
    <row r="8" spans="1:2" ht="28" customHeight="1">
      <c r="A8" s="58" t="s">
        <v>369</v>
      </c>
      <c r="B8" s="30" t="s">
        <v>256</v>
      </c>
    </row>
    <row r="9" spans="1:2" ht="28" customHeight="1">
      <c r="A9" s="58"/>
      <c r="B9" s="32">
        <v>21</v>
      </c>
    </row>
    <row r="10" spans="1:2" ht="28" customHeight="1">
      <c r="A10" s="58" t="s">
        <v>381</v>
      </c>
      <c r="B10" s="30" t="s">
        <v>256</v>
      </c>
    </row>
    <row r="11" spans="1:2" ht="28" customHeight="1">
      <c r="A11" s="58"/>
      <c r="B11" s="32">
        <v>10</v>
      </c>
    </row>
    <row r="12" spans="1:2" ht="28" customHeight="1">
      <c r="A12" s="58" t="s">
        <v>392</v>
      </c>
      <c r="B12" s="30" t="s">
        <v>256</v>
      </c>
    </row>
    <row r="13" spans="1:2" ht="28" customHeight="1">
      <c r="A13" s="58"/>
      <c r="B13" s="32">
        <v>4</v>
      </c>
    </row>
    <row r="14" spans="1:2" ht="28" customHeight="1">
      <c r="A14" s="58" t="s">
        <v>404</v>
      </c>
      <c r="B14" s="30" t="s">
        <v>256</v>
      </c>
    </row>
    <row r="15" spans="1:2" ht="28" customHeight="1">
      <c r="A15" s="58"/>
      <c r="B15" s="32">
        <v>4</v>
      </c>
    </row>
    <row r="16" spans="1:2" ht="32" customHeight="1">
      <c r="A16" s="57" t="s">
        <v>417</v>
      </c>
      <c r="B16" s="57"/>
    </row>
    <row r="17" spans="1:2" ht="28" customHeight="1">
      <c r="A17" s="58" t="s">
        <v>418</v>
      </c>
      <c r="B17" s="30" t="s">
        <v>256</v>
      </c>
    </row>
    <row r="18" spans="1:2" ht="28" customHeight="1">
      <c r="A18" s="58"/>
      <c r="B18" s="32">
        <v>2</v>
      </c>
    </row>
    <row r="19" spans="1:2" ht="28" customHeight="1">
      <c r="A19" s="58" t="s">
        <v>424</v>
      </c>
      <c r="B19" s="30" t="s">
        <v>256</v>
      </c>
    </row>
    <row r="20" spans="1:2" ht="28" customHeight="1">
      <c r="A20" s="58"/>
      <c r="B20" s="32">
        <v>19</v>
      </c>
    </row>
    <row r="21" spans="1:2" ht="28" customHeight="1">
      <c r="A21" s="58" t="s">
        <v>434</v>
      </c>
      <c r="B21" s="30" t="s">
        <v>256</v>
      </c>
    </row>
    <row r="22" spans="1:2" ht="28" customHeight="1">
      <c r="A22" s="58"/>
      <c r="B22" s="32">
        <v>4</v>
      </c>
    </row>
    <row r="23" spans="1:2" ht="28" customHeight="1">
      <c r="A23" s="58" t="s">
        <v>453</v>
      </c>
      <c r="B23" s="30" t="s">
        <v>256</v>
      </c>
    </row>
    <row r="24" spans="1:2" ht="28" customHeight="1">
      <c r="A24" s="58"/>
      <c r="B24" s="32">
        <v>9</v>
      </c>
    </row>
    <row r="25" spans="1:2" ht="28" customHeight="1">
      <c r="A25" s="58" t="s">
        <v>463</v>
      </c>
      <c r="B25" s="30" t="s">
        <v>256</v>
      </c>
    </row>
    <row r="26" spans="1:2" ht="28" customHeight="1">
      <c r="A26" s="58"/>
      <c r="B26" s="32">
        <v>5</v>
      </c>
    </row>
    <row r="27" spans="1:2" ht="28" customHeight="1">
      <c r="A27" s="58" t="s">
        <v>479</v>
      </c>
      <c r="B27" s="30" t="s">
        <v>256</v>
      </c>
    </row>
    <row r="28" spans="1:2" ht="28" customHeight="1">
      <c r="A28" s="58"/>
      <c r="B28" s="32">
        <v>6</v>
      </c>
    </row>
    <row r="29" spans="1:2" ht="32" customHeight="1">
      <c r="A29" s="57" t="s">
        <v>488</v>
      </c>
      <c r="B29" s="57"/>
    </row>
    <row r="30" spans="1:2" ht="28" customHeight="1">
      <c r="A30" s="58" t="s">
        <v>489</v>
      </c>
      <c r="B30" s="30" t="s">
        <v>256</v>
      </c>
    </row>
    <row r="31" spans="1:2" ht="28" customHeight="1">
      <c r="A31" s="58"/>
      <c r="B31" s="32">
        <v>5.5</v>
      </c>
    </row>
    <row r="32" spans="1:2" ht="28" customHeight="1">
      <c r="A32" s="58" t="s">
        <v>500</v>
      </c>
      <c r="B32" s="30" t="s">
        <v>256</v>
      </c>
    </row>
    <row r="33" spans="1:2" ht="28" customHeight="1">
      <c r="A33" s="58"/>
      <c r="B33" s="32">
        <v>13.5</v>
      </c>
    </row>
    <row r="34" spans="1:2" ht="28" customHeight="1">
      <c r="A34" s="58" t="s">
        <v>522</v>
      </c>
      <c r="B34" s="30" t="s">
        <v>256</v>
      </c>
    </row>
    <row r="35" spans="1:2" ht="28" customHeight="1">
      <c r="A35" s="58"/>
      <c r="B35" s="32">
        <v>6</v>
      </c>
    </row>
    <row r="36" spans="1:2" ht="28" customHeight="1">
      <c r="A36" s="58" t="s">
        <v>534</v>
      </c>
      <c r="B36" s="30" t="s">
        <v>256</v>
      </c>
    </row>
    <row r="37" spans="1:2" ht="28" customHeight="1">
      <c r="A37" s="58"/>
      <c r="B37" s="32">
        <v>7</v>
      </c>
    </row>
    <row r="38" spans="1:2" ht="28" customHeight="1">
      <c r="A38" s="58" t="s">
        <v>549</v>
      </c>
      <c r="B38" s="30" t="s">
        <v>256</v>
      </c>
    </row>
    <row r="39" spans="1:2" ht="28" customHeight="1">
      <c r="A39" s="58"/>
      <c r="B39" s="32">
        <v>3</v>
      </c>
    </row>
    <row r="40" spans="1:2" ht="32" customHeight="1">
      <c r="A40" s="57" t="s">
        <v>560</v>
      </c>
      <c r="B40" s="57"/>
    </row>
    <row r="41" spans="1:2" ht="28" customHeight="1">
      <c r="A41" s="58" t="s">
        <v>561</v>
      </c>
      <c r="B41" s="30" t="s">
        <v>256</v>
      </c>
    </row>
    <row r="42" spans="1:2" ht="28" customHeight="1">
      <c r="A42" s="58"/>
      <c r="B42" s="32">
        <v>2</v>
      </c>
    </row>
    <row r="43" spans="1:2" ht="28" customHeight="1">
      <c r="A43" s="58" t="s">
        <v>568</v>
      </c>
      <c r="B43" s="30" t="s">
        <v>256</v>
      </c>
    </row>
    <row r="44" spans="1:2" ht="28" customHeight="1">
      <c r="A44" s="58"/>
      <c r="B44" s="32">
        <v>2</v>
      </c>
    </row>
    <row r="45" spans="1:2" ht="28" customHeight="1">
      <c r="A45" s="58" t="s">
        <v>578</v>
      </c>
      <c r="B45" s="30" t="s">
        <v>256</v>
      </c>
    </row>
    <row r="46" spans="1:2" ht="28" customHeight="1">
      <c r="A46" s="58"/>
      <c r="B46" s="32">
        <v>11</v>
      </c>
    </row>
    <row r="47" spans="1:2" ht="28" customHeight="1">
      <c r="A47" s="58" t="s">
        <v>597</v>
      </c>
      <c r="B47" s="30" t="s">
        <v>256</v>
      </c>
    </row>
    <row r="48" spans="1:2" ht="28" customHeight="1">
      <c r="A48" s="58"/>
      <c r="B48" s="32">
        <v>6</v>
      </c>
    </row>
    <row r="49" spans="1:2" ht="28" customHeight="1">
      <c r="A49" s="58" t="s">
        <v>623</v>
      </c>
      <c r="B49" s="30" t="s">
        <v>256</v>
      </c>
    </row>
    <row r="50" spans="1:2" ht="28" customHeight="1">
      <c r="A50" s="58"/>
      <c r="B50" s="32">
        <v>2</v>
      </c>
    </row>
    <row r="51" spans="1:2" ht="28" customHeight="1">
      <c r="A51" s="58" t="s">
        <v>634</v>
      </c>
      <c r="B51" s="30" t="s">
        <v>256</v>
      </c>
    </row>
    <row r="52" spans="1:2" ht="28" customHeight="1">
      <c r="A52" s="58"/>
      <c r="B52" s="32">
        <v>2</v>
      </c>
    </row>
  </sheetData>
  <mergeCells count="28">
    <mergeCell ref="A45:A46"/>
    <mergeCell ref="A47:A48"/>
    <mergeCell ref="A49:A50"/>
    <mergeCell ref="A51:A52"/>
    <mergeCell ref="A34:A35"/>
    <mergeCell ref="A36:A37"/>
    <mergeCell ref="A38:A39"/>
    <mergeCell ref="A40:B40"/>
    <mergeCell ref="A41:A42"/>
    <mergeCell ref="A43:A44"/>
    <mergeCell ref="A32:A33"/>
    <mergeCell ref="A12:A13"/>
    <mergeCell ref="A14:A15"/>
    <mergeCell ref="A16:B16"/>
    <mergeCell ref="A17:A18"/>
    <mergeCell ref="A19:A20"/>
    <mergeCell ref="A21:A22"/>
    <mergeCell ref="A23:A24"/>
    <mergeCell ref="A25:A26"/>
    <mergeCell ref="A27:A28"/>
    <mergeCell ref="A29:B29"/>
    <mergeCell ref="A30:A31"/>
    <mergeCell ref="A10:A11"/>
    <mergeCell ref="A1:B1"/>
    <mergeCell ref="A2:A3"/>
    <mergeCell ref="A4:A5"/>
    <mergeCell ref="A6:A7"/>
    <mergeCell ref="A8:A9"/>
  </mergeCells>
  <phoneticPr fontId="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13A3-3C8E-4BED-85FE-006B64E4F180}">
  <dimension ref="A1:B52"/>
  <sheetViews>
    <sheetView workbookViewId="0">
      <selection sqref="A1:B1"/>
    </sheetView>
  </sheetViews>
  <sheetFormatPr defaultRowHeight="14"/>
  <cols>
    <col min="1" max="1" width="30" customWidth="1"/>
    <col min="2" max="2" width="16" customWidth="1"/>
  </cols>
  <sheetData>
    <row r="1" spans="1:2" ht="32" customHeight="1">
      <c r="A1" s="57" t="s">
        <v>353</v>
      </c>
      <c r="B1" s="57"/>
    </row>
    <row r="2" spans="1:2" ht="28" customHeight="1">
      <c r="A2" s="58" t="s">
        <v>354</v>
      </c>
      <c r="B2" s="30" t="s">
        <v>256</v>
      </c>
    </row>
    <row r="3" spans="1:2" ht="28" customHeight="1">
      <c r="A3" s="58"/>
      <c r="B3" s="32"/>
    </row>
    <row r="4" spans="1:2" ht="28" customHeight="1">
      <c r="A4" s="58" t="s">
        <v>357</v>
      </c>
      <c r="B4" s="30" t="s">
        <v>256</v>
      </c>
    </row>
    <row r="5" spans="1:2" ht="28" customHeight="1">
      <c r="A5" s="58"/>
      <c r="B5" s="32"/>
    </row>
    <row r="6" spans="1:2" ht="28" customHeight="1">
      <c r="A6" s="58" t="s">
        <v>362</v>
      </c>
      <c r="B6" s="30" t="s">
        <v>256</v>
      </c>
    </row>
    <row r="7" spans="1:2" ht="28" customHeight="1">
      <c r="A7" s="58"/>
      <c r="B7" s="32"/>
    </row>
    <row r="8" spans="1:2" ht="28" customHeight="1">
      <c r="A8" s="58" t="s">
        <v>369</v>
      </c>
      <c r="B8" s="30" t="s">
        <v>256</v>
      </c>
    </row>
    <row r="9" spans="1:2" ht="28" customHeight="1">
      <c r="A9" s="58"/>
      <c r="B9" s="32"/>
    </row>
    <row r="10" spans="1:2" ht="28" customHeight="1">
      <c r="A10" s="58" t="s">
        <v>381</v>
      </c>
      <c r="B10" s="30" t="s">
        <v>256</v>
      </c>
    </row>
    <row r="11" spans="1:2" ht="28" customHeight="1">
      <c r="A11" s="58"/>
      <c r="B11" s="32"/>
    </row>
    <row r="12" spans="1:2" ht="28" customHeight="1">
      <c r="A12" s="58" t="s">
        <v>392</v>
      </c>
      <c r="B12" s="30" t="s">
        <v>256</v>
      </c>
    </row>
    <row r="13" spans="1:2" ht="28" customHeight="1">
      <c r="A13" s="58"/>
      <c r="B13" s="32"/>
    </row>
    <row r="14" spans="1:2" ht="28" customHeight="1">
      <c r="A14" s="58" t="s">
        <v>404</v>
      </c>
      <c r="B14" s="30" t="s">
        <v>256</v>
      </c>
    </row>
    <row r="15" spans="1:2" ht="28" customHeight="1">
      <c r="A15" s="58"/>
      <c r="B15" s="32"/>
    </row>
    <row r="16" spans="1:2" ht="32" customHeight="1">
      <c r="A16" s="57" t="s">
        <v>417</v>
      </c>
      <c r="B16" s="57"/>
    </row>
    <row r="17" spans="1:2" ht="28" customHeight="1">
      <c r="A17" s="58" t="s">
        <v>418</v>
      </c>
      <c r="B17" s="30" t="s">
        <v>256</v>
      </c>
    </row>
    <row r="18" spans="1:2" ht="28" customHeight="1">
      <c r="A18" s="58"/>
      <c r="B18" s="32"/>
    </row>
    <row r="19" spans="1:2" ht="28" customHeight="1">
      <c r="A19" s="58" t="s">
        <v>424</v>
      </c>
      <c r="B19" s="30" t="s">
        <v>256</v>
      </c>
    </row>
    <row r="20" spans="1:2" ht="28" customHeight="1">
      <c r="A20" s="58"/>
      <c r="B20" s="32"/>
    </row>
    <row r="21" spans="1:2" ht="28" customHeight="1">
      <c r="A21" s="58" t="s">
        <v>434</v>
      </c>
      <c r="B21" s="30" t="s">
        <v>256</v>
      </c>
    </row>
    <row r="22" spans="1:2" ht="28" customHeight="1">
      <c r="A22" s="58"/>
      <c r="B22" s="32"/>
    </row>
    <row r="23" spans="1:2" ht="28" customHeight="1">
      <c r="A23" s="58" t="s">
        <v>453</v>
      </c>
      <c r="B23" s="30" t="s">
        <v>256</v>
      </c>
    </row>
    <row r="24" spans="1:2" ht="28" customHeight="1">
      <c r="A24" s="58"/>
      <c r="B24" s="32"/>
    </row>
    <row r="25" spans="1:2" ht="28" customHeight="1">
      <c r="A25" s="58" t="s">
        <v>463</v>
      </c>
      <c r="B25" s="30" t="s">
        <v>256</v>
      </c>
    </row>
    <row r="26" spans="1:2" ht="28" customHeight="1">
      <c r="A26" s="58"/>
      <c r="B26" s="32"/>
    </row>
    <row r="27" spans="1:2" ht="28" customHeight="1">
      <c r="A27" s="58" t="s">
        <v>479</v>
      </c>
      <c r="B27" s="30" t="s">
        <v>256</v>
      </c>
    </row>
    <row r="28" spans="1:2" ht="28" customHeight="1">
      <c r="A28" s="58"/>
      <c r="B28" s="32"/>
    </row>
    <row r="29" spans="1:2" ht="32" customHeight="1">
      <c r="A29" s="57" t="s">
        <v>488</v>
      </c>
      <c r="B29" s="57"/>
    </row>
    <row r="30" spans="1:2" ht="28" customHeight="1">
      <c r="A30" s="58" t="s">
        <v>489</v>
      </c>
      <c r="B30" s="30" t="s">
        <v>256</v>
      </c>
    </row>
    <row r="31" spans="1:2" ht="28" customHeight="1">
      <c r="A31" s="58"/>
      <c r="B31" s="32"/>
    </row>
    <row r="32" spans="1:2" ht="28" customHeight="1">
      <c r="A32" s="58" t="s">
        <v>500</v>
      </c>
      <c r="B32" s="30" t="s">
        <v>256</v>
      </c>
    </row>
    <row r="33" spans="1:2" ht="28" customHeight="1">
      <c r="A33" s="58"/>
      <c r="B33" s="32"/>
    </row>
    <row r="34" spans="1:2" ht="28" customHeight="1">
      <c r="A34" s="58" t="s">
        <v>522</v>
      </c>
      <c r="B34" s="30" t="s">
        <v>256</v>
      </c>
    </row>
    <row r="35" spans="1:2" ht="28" customHeight="1">
      <c r="A35" s="58"/>
      <c r="B35" s="32"/>
    </row>
    <row r="36" spans="1:2" ht="28" customHeight="1">
      <c r="A36" s="58" t="s">
        <v>534</v>
      </c>
      <c r="B36" s="30" t="s">
        <v>256</v>
      </c>
    </row>
    <row r="37" spans="1:2" ht="28" customHeight="1">
      <c r="A37" s="58"/>
      <c r="B37" s="32"/>
    </row>
    <row r="38" spans="1:2" ht="28" customHeight="1">
      <c r="A38" s="58" t="s">
        <v>549</v>
      </c>
      <c r="B38" s="30" t="s">
        <v>256</v>
      </c>
    </row>
    <row r="39" spans="1:2" ht="28" customHeight="1">
      <c r="A39" s="58"/>
      <c r="B39" s="32"/>
    </row>
    <row r="40" spans="1:2" ht="32" customHeight="1">
      <c r="A40" s="57" t="s">
        <v>560</v>
      </c>
      <c r="B40" s="57"/>
    </row>
    <row r="41" spans="1:2" ht="28" customHeight="1">
      <c r="A41" s="58" t="s">
        <v>561</v>
      </c>
      <c r="B41" s="30" t="s">
        <v>256</v>
      </c>
    </row>
    <row r="42" spans="1:2" ht="28" customHeight="1">
      <c r="A42" s="58"/>
      <c r="B42" s="32"/>
    </row>
    <row r="43" spans="1:2" ht="28" customHeight="1">
      <c r="A43" s="58" t="s">
        <v>568</v>
      </c>
      <c r="B43" s="30" t="s">
        <v>256</v>
      </c>
    </row>
    <row r="44" spans="1:2" ht="28" customHeight="1">
      <c r="A44" s="58"/>
      <c r="B44" s="32"/>
    </row>
    <row r="45" spans="1:2" ht="28" customHeight="1">
      <c r="A45" s="58" t="s">
        <v>578</v>
      </c>
      <c r="B45" s="30" t="s">
        <v>256</v>
      </c>
    </row>
    <row r="46" spans="1:2" ht="28" customHeight="1">
      <c r="A46" s="58"/>
      <c r="B46" s="32"/>
    </row>
    <row r="47" spans="1:2" ht="28" customHeight="1">
      <c r="A47" s="58" t="s">
        <v>597</v>
      </c>
      <c r="B47" s="30" t="s">
        <v>256</v>
      </c>
    </row>
    <row r="48" spans="1:2" ht="28" customHeight="1">
      <c r="A48" s="58"/>
      <c r="B48" s="32"/>
    </row>
    <row r="49" spans="1:2" ht="28" customHeight="1">
      <c r="A49" s="58" t="s">
        <v>623</v>
      </c>
      <c r="B49" s="30" t="s">
        <v>256</v>
      </c>
    </row>
    <row r="50" spans="1:2" ht="28" customHeight="1">
      <c r="A50" s="58"/>
      <c r="B50" s="32"/>
    </row>
    <row r="51" spans="1:2" ht="28" customHeight="1">
      <c r="A51" s="58" t="s">
        <v>634</v>
      </c>
      <c r="B51" s="30" t="s">
        <v>256</v>
      </c>
    </row>
    <row r="52" spans="1:2" ht="28" customHeight="1">
      <c r="A52" s="58"/>
      <c r="B52" s="32"/>
    </row>
  </sheetData>
  <mergeCells count="28">
    <mergeCell ref="A45:A46"/>
    <mergeCell ref="A47:A48"/>
    <mergeCell ref="A49:A50"/>
    <mergeCell ref="A51:A52"/>
    <mergeCell ref="A34:A35"/>
    <mergeCell ref="A36:A37"/>
    <mergeCell ref="A38:A39"/>
    <mergeCell ref="A40:B40"/>
    <mergeCell ref="A41:A42"/>
    <mergeCell ref="A43:A44"/>
    <mergeCell ref="A32:A33"/>
    <mergeCell ref="A12:A13"/>
    <mergeCell ref="A14:A15"/>
    <mergeCell ref="A16:B16"/>
    <mergeCell ref="A17:A18"/>
    <mergeCell ref="A19:A20"/>
    <mergeCell ref="A21:A22"/>
    <mergeCell ref="A23:A24"/>
    <mergeCell ref="A25:A26"/>
    <mergeCell ref="A27:A28"/>
    <mergeCell ref="A29:B29"/>
    <mergeCell ref="A30:A31"/>
    <mergeCell ref="A10:A11"/>
    <mergeCell ref="A1:B1"/>
    <mergeCell ref="A2:A3"/>
    <mergeCell ref="A4:A5"/>
    <mergeCell ref="A6:A7"/>
    <mergeCell ref="A8:A9"/>
  </mergeCells>
  <phoneticPr fontId="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C629D-6B51-4133-AD4F-01DD18D6BC94}">
  <dimension ref="A1:C88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4" customWidth="1"/>
    <col min="2" max="2" width="62" customWidth="1"/>
    <col min="3" max="3" width="12" customWidth="1"/>
  </cols>
  <sheetData>
    <row r="1" spans="1:3" ht="30" customHeight="1">
      <c r="A1" s="40" t="s">
        <v>257</v>
      </c>
      <c r="B1" s="40" t="s">
        <v>258</v>
      </c>
      <c r="C1" s="40" t="s">
        <v>259</v>
      </c>
    </row>
    <row r="2" spans="1:3" ht="27" customHeight="1">
      <c r="A2" s="41" t="s">
        <v>260</v>
      </c>
      <c r="B2" s="42" t="s">
        <v>354</v>
      </c>
      <c r="C2" s="37">
        <v>2</v>
      </c>
    </row>
    <row r="3" spans="1:3" ht="27" customHeight="1">
      <c r="A3" s="41" t="s">
        <v>261</v>
      </c>
      <c r="B3" s="42" t="s">
        <v>362</v>
      </c>
      <c r="C3" s="37">
        <v>2</v>
      </c>
    </row>
    <row r="4" spans="1:3" ht="27" customHeight="1">
      <c r="A4" s="41" t="s">
        <v>262</v>
      </c>
      <c r="B4" s="42" t="s">
        <v>369</v>
      </c>
      <c r="C4" s="37">
        <v>2</v>
      </c>
    </row>
    <row r="5" spans="1:3" ht="27" customHeight="1">
      <c r="A5" s="41" t="s">
        <v>263</v>
      </c>
      <c r="B5" s="42" t="s">
        <v>369</v>
      </c>
      <c r="C5" s="37">
        <v>2</v>
      </c>
    </row>
    <row r="6" spans="1:3" ht="27" customHeight="1">
      <c r="A6" s="41" t="s">
        <v>264</v>
      </c>
      <c r="B6" s="42" t="s">
        <v>369</v>
      </c>
      <c r="C6" s="37">
        <v>2</v>
      </c>
    </row>
    <row r="7" spans="1:3" ht="27" customHeight="1">
      <c r="A7" s="41" t="s">
        <v>265</v>
      </c>
      <c r="B7" s="42" t="s">
        <v>381</v>
      </c>
      <c r="C7" s="37">
        <v>2</v>
      </c>
    </row>
    <row r="8" spans="1:3" ht="27" customHeight="1">
      <c r="A8" s="41" t="s">
        <v>266</v>
      </c>
      <c r="B8" s="42" t="s">
        <v>392</v>
      </c>
      <c r="C8" s="37">
        <v>2</v>
      </c>
    </row>
    <row r="9" spans="1:3" ht="27" customHeight="1">
      <c r="A9" s="41" t="s">
        <v>267</v>
      </c>
      <c r="B9" s="42" t="s">
        <v>392</v>
      </c>
      <c r="C9" s="37">
        <v>2</v>
      </c>
    </row>
    <row r="10" spans="1:3" ht="27" customHeight="1">
      <c r="A10" s="41" t="s">
        <v>268</v>
      </c>
      <c r="B10" s="42" t="s">
        <v>392</v>
      </c>
      <c r="C10" s="37">
        <v>2</v>
      </c>
    </row>
    <row r="11" spans="1:3" ht="27" customHeight="1">
      <c r="A11" s="41" t="s">
        <v>269</v>
      </c>
      <c r="B11" s="42" t="s">
        <v>404</v>
      </c>
      <c r="C11" s="37">
        <v>2</v>
      </c>
    </row>
    <row r="12" spans="1:3" ht="27" customHeight="1">
      <c r="A12" s="41" t="s">
        <v>270</v>
      </c>
      <c r="B12" s="42" t="s">
        <v>404</v>
      </c>
      <c r="C12" s="37">
        <v>2</v>
      </c>
    </row>
    <row r="13" spans="1:3" ht="27" customHeight="1">
      <c r="A13" s="41" t="s">
        <v>271</v>
      </c>
      <c r="B13" s="42" t="s">
        <v>424</v>
      </c>
      <c r="C13" s="37">
        <v>2</v>
      </c>
    </row>
    <row r="14" spans="1:3" ht="27" customHeight="1">
      <c r="A14" s="41" t="s">
        <v>272</v>
      </c>
      <c r="B14" s="42" t="s">
        <v>424</v>
      </c>
      <c r="C14" s="37">
        <v>2</v>
      </c>
    </row>
    <row r="15" spans="1:3" ht="27" customHeight="1">
      <c r="A15" s="41" t="s">
        <v>274</v>
      </c>
      <c r="B15" s="42" t="s">
        <v>424</v>
      </c>
      <c r="C15" s="37">
        <v>2</v>
      </c>
    </row>
    <row r="16" spans="1:3" ht="27" customHeight="1">
      <c r="A16" s="41" t="s">
        <v>276</v>
      </c>
      <c r="B16" s="42" t="s">
        <v>453</v>
      </c>
      <c r="C16" s="37">
        <v>2</v>
      </c>
    </row>
    <row r="17" spans="1:3" ht="27" customHeight="1">
      <c r="A17" s="41" t="s">
        <v>277</v>
      </c>
      <c r="B17" s="42" t="s">
        <v>453</v>
      </c>
      <c r="C17" s="37">
        <v>2</v>
      </c>
    </row>
    <row r="18" spans="1:3" ht="27" customHeight="1">
      <c r="A18" s="41" t="s">
        <v>279</v>
      </c>
      <c r="B18" s="42" t="s">
        <v>453</v>
      </c>
      <c r="C18" s="37">
        <v>2</v>
      </c>
    </row>
    <row r="19" spans="1:3" ht="27" customHeight="1">
      <c r="A19" s="41" t="s">
        <v>303</v>
      </c>
      <c r="B19" s="42" t="s">
        <v>418</v>
      </c>
      <c r="C19" s="37">
        <v>2</v>
      </c>
    </row>
    <row r="20" spans="1:3" ht="27" customHeight="1">
      <c r="A20" s="41" t="s">
        <v>318</v>
      </c>
      <c r="B20" s="42" t="s">
        <v>463</v>
      </c>
      <c r="C20" s="37">
        <v>2</v>
      </c>
    </row>
    <row r="21" spans="1:3" ht="27" customHeight="1">
      <c r="A21" s="41" t="s">
        <v>327</v>
      </c>
      <c r="B21" s="42" t="s">
        <v>479</v>
      </c>
      <c r="C21" s="37">
        <v>2</v>
      </c>
    </row>
    <row r="22" spans="1:3" ht="27" customHeight="1">
      <c r="A22" s="41" t="s">
        <v>287</v>
      </c>
      <c r="B22" s="42" t="s">
        <v>479</v>
      </c>
      <c r="C22" s="37">
        <v>2</v>
      </c>
    </row>
    <row r="23" spans="1:3" ht="27" customHeight="1">
      <c r="A23" s="41" t="s">
        <v>329</v>
      </c>
      <c r="B23" s="42" t="s">
        <v>463</v>
      </c>
      <c r="C23" s="37">
        <v>2</v>
      </c>
    </row>
    <row r="24" spans="1:3" ht="27" customHeight="1">
      <c r="A24" s="41" t="s">
        <v>330</v>
      </c>
      <c r="B24" s="42" t="s">
        <v>500</v>
      </c>
      <c r="C24" s="37">
        <v>2</v>
      </c>
    </row>
    <row r="25" spans="1:3" ht="27" customHeight="1">
      <c r="A25" s="41" t="s">
        <v>332</v>
      </c>
      <c r="B25" s="42" t="s">
        <v>489</v>
      </c>
      <c r="C25" s="37">
        <v>2</v>
      </c>
    </row>
    <row r="26" spans="1:3" ht="27" customHeight="1">
      <c r="A26" s="41" t="s">
        <v>337</v>
      </c>
      <c r="B26" s="42" t="s">
        <v>651</v>
      </c>
      <c r="C26" s="37">
        <v>2</v>
      </c>
    </row>
    <row r="27" spans="1:3" ht="27" customHeight="1">
      <c r="A27" s="41" t="s">
        <v>338</v>
      </c>
      <c r="B27" s="42" t="s">
        <v>522</v>
      </c>
      <c r="C27" s="37">
        <v>2</v>
      </c>
    </row>
    <row r="28" spans="1:3" ht="27" customHeight="1">
      <c r="A28" s="41" t="s">
        <v>339</v>
      </c>
      <c r="B28" s="42" t="s">
        <v>522</v>
      </c>
      <c r="C28" s="37">
        <v>2</v>
      </c>
    </row>
    <row r="29" spans="1:3" ht="27" customHeight="1">
      <c r="A29" s="41" t="s">
        <v>652</v>
      </c>
      <c r="B29" s="42" t="s">
        <v>534</v>
      </c>
      <c r="C29" s="37">
        <v>2</v>
      </c>
    </row>
    <row r="30" spans="1:3" ht="27" customHeight="1">
      <c r="A30" s="41" t="s">
        <v>653</v>
      </c>
      <c r="B30" s="42" t="s">
        <v>534</v>
      </c>
      <c r="C30" s="37">
        <v>2</v>
      </c>
    </row>
    <row r="31" spans="1:3" ht="27" customHeight="1">
      <c r="A31" s="41" t="s">
        <v>654</v>
      </c>
      <c r="B31" s="42" t="s">
        <v>522</v>
      </c>
      <c r="C31" s="37">
        <v>2</v>
      </c>
    </row>
    <row r="32" spans="1:3" ht="27" customHeight="1">
      <c r="A32" s="41" t="s">
        <v>655</v>
      </c>
      <c r="B32" s="42" t="s">
        <v>534</v>
      </c>
      <c r="C32" s="37">
        <v>2</v>
      </c>
    </row>
    <row r="33" spans="1:3" ht="27" customHeight="1">
      <c r="A33" s="41" t="s">
        <v>656</v>
      </c>
      <c r="B33" s="42" t="s">
        <v>549</v>
      </c>
      <c r="C33" s="37">
        <v>2</v>
      </c>
    </row>
    <row r="34" spans="1:3" ht="27" customHeight="1">
      <c r="A34" s="41" t="s">
        <v>657</v>
      </c>
      <c r="B34" s="42" t="s">
        <v>658</v>
      </c>
      <c r="C34" s="37">
        <v>2</v>
      </c>
    </row>
    <row r="35" spans="1:3" ht="27" customHeight="1">
      <c r="A35" s="41" t="s">
        <v>659</v>
      </c>
      <c r="B35" s="42" t="s">
        <v>578</v>
      </c>
      <c r="C35" s="37">
        <v>2</v>
      </c>
    </row>
    <row r="36" spans="1:3" ht="27" customHeight="1">
      <c r="A36" s="41" t="s">
        <v>660</v>
      </c>
      <c r="B36" s="42" t="s">
        <v>578</v>
      </c>
      <c r="C36" s="37">
        <v>2</v>
      </c>
    </row>
    <row r="37" spans="1:3" ht="27" customHeight="1">
      <c r="A37" s="41" t="s">
        <v>661</v>
      </c>
      <c r="B37" s="42" t="s">
        <v>597</v>
      </c>
      <c r="C37" s="37">
        <v>2</v>
      </c>
    </row>
    <row r="38" spans="1:3" ht="27" customHeight="1">
      <c r="A38" s="41" t="s">
        <v>662</v>
      </c>
      <c r="B38" s="42" t="s">
        <v>663</v>
      </c>
      <c r="C38" s="37">
        <v>2</v>
      </c>
    </row>
    <row r="39" spans="1:3" ht="27" customHeight="1">
      <c r="A39" s="41" t="s">
        <v>664</v>
      </c>
      <c r="B39" s="42" t="s">
        <v>623</v>
      </c>
      <c r="C39" s="37">
        <v>2</v>
      </c>
    </row>
    <row r="40" spans="1:3" ht="27" customHeight="1">
      <c r="A40" s="41" t="s">
        <v>665</v>
      </c>
      <c r="B40" s="42" t="s">
        <v>623</v>
      </c>
      <c r="C40" s="37">
        <v>2</v>
      </c>
    </row>
    <row r="41" spans="1:3" ht="27" customHeight="1">
      <c r="A41" s="41" t="s">
        <v>666</v>
      </c>
      <c r="B41" s="42" t="s">
        <v>634</v>
      </c>
      <c r="C41" s="37">
        <v>2</v>
      </c>
    </row>
    <row r="42" spans="1:3" ht="27" customHeight="1">
      <c r="A42" s="41" t="s">
        <v>667</v>
      </c>
      <c r="B42" s="42" t="s">
        <v>357</v>
      </c>
      <c r="C42" s="37">
        <v>4</v>
      </c>
    </row>
    <row r="43" spans="1:3" ht="27" customHeight="1">
      <c r="A43" s="41" t="s">
        <v>668</v>
      </c>
      <c r="B43" s="42" t="s">
        <v>357</v>
      </c>
      <c r="C43" s="37">
        <v>7</v>
      </c>
    </row>
    <row r="44" spans="1:3" ht="27" customHeight="1">
      <c r="A44" s="41" t="s">
        <v>669</v>
      </c>
      <c r="B44" s="42" t="s">
        <v>354</v>
      </c>
      <c r="C44" s="37">
        <v>2</v>
      </c>
    </row>
    <row r="45" spans="1:3" ht="27" customHeight="1">
      <c r="A45" s="41" t="s">
        <v>670</v>
      </c>
      <c r="B45" s="42" t="s">
        <v>381</v>
      </c>
      <c r="C45" s="37">
        <v>3</v>
      </c>
    </row>
    <row r="46" spans="1:3" ht="27" customHeight="1">
      <c r="A46" s="41" t="s">
        <v>671</v>
      </c>
      <c r="B46" s="42" t="s">
        <v>381</v>
      </c>
      <c r="C46" s="37">
        <v>3</v>
      </c>
    </row>
    <row r="47" spans="1:3" ht="27" customHeight="1">
      <c r="A47" s="41" t="s">
        <v>672</v>
      </c>
      <c r="B47" s="42" t="s">
        <v>381</v>
      </c>
      <c r="C47" s="37">
        <v>2</v>
      </c>
    </row>
    <row r="48" spans="1:3" ht="27" customHeight="1">
      <c r="A48" s="41" t="s">
        <v>673</v>
      </c>
      <c r="B48" s="42" t="s">
        <v>381</v>
      </c>
      <c r="C48" s="37">
        <v>2</v>
      </c>
    </row>
    <row r="49" spans="1:3" ht="27" customHeight="1">
      <c r="A49" s="41" t="s">
        <v>674</v>
      </c>
      <c r="B49" s="42" t="s">
        <v>434</v>
      </c>
      <c r="C49" s="37">
        <v>3</v>
      </c>
    </row>
    <row r="50" spans="1:3" ht="27" customHeight="1">
      <c r="A50" s="41" t="s">
        <v>675</v>
      </c>
      <c r="B50" s="42" t="s">
        <v>434</v>
      </c>
      <c r="C50" s="37">
        <v>2</v>
      </c>
    </row>
    <row r="51" spans="1:3" ht="27" customHeight="1">
      <c r="A51" s="41" t="s">
        <v>676</v>
      </c>
      <c r="B51" s="42" t="s">
        <v>434</v>
      </c>
      <c r="C51" s="37">
        <v>5</v>
      </c>
    </row>
    <row r="52" spans="1:3" ht="27" customHeight="1">
      <c r="A52" s="41" t="s">
        <v>677</v>
      </c>
      <c r="B52" s="42" t="s">
        <v>434</v>
      </c>
      <c r="C52" s="37">
        <v>2</v>
      </c>
    </row>
    <row r="53" spans="1:3" ht="27" customHeight="1">
      <c r="A53" s="41" t="s">
        <v>678</v>
      </c>
      <c r="B53" s="42" t="s">
        <v>424</v>
      </c>
      <c r="C53" s="37">
        <v>6</v>
      </c>
    </row>
    <row r="54" spans="1:3" ht="27" customHeight="1">
      <c r="A54" s="41" t="s">
        <v>679</v>
      </c>
      <c r="B54" s="42" t="s">
        <v>680</v>
      </c>
      <c r="C54" s="37">
        <v>5</v>
      </c>
    </row>
    <row r="55" spans="1:3" ht="27" customHeight="1">
      <c r="A55" s="41" t="s">
        <v>681</v>
      </c>
      <c r="B55" s="42" t="s">
        <v>500</v>
      </c>
      <c r="C55" s="37">
        <v>7</v>
      </c>
    </row>
    <row r="56" spans="1:3" ht="27" customHeight="1">
      <c r="A56" s="41" t="s">
        <v>682</v>
      </c>
      <c r="B56" s="42" t="s">
        <v>683</v>
      </c>
      <c r="C56" s="37">
        <v>2</v>
      </c>
    </row>
    <row r="57" spans="1:3" ht="27" customHeight="1">
      <c r="A57" s="41" t="s">
        <v>684</v>
      </c>
      <c r="B57" s="42" t="s">
        <v>685</v>
      </c>
      <c r="C57" s="37">
        <v>3</v>
      </c>
    </row>
    <row r="58" spans="1:3" ht="27" customHeight="1">
      <c r="A58" s="41" t="s">
        <v>686</v>
      </c>
      <c r="B58" s="42" t="s">
        <v>489</v>
      </c>
      <c r="C58" s="37">
        <v>3</v>
      </c>
    </row>
    <row r="59" spans="1:3" ht="27" customHeight="1">
      <c r="A59" s="41" t="s">
        <v>687</v>
      </c>
      <c r="B59" s="42" t="s">
        <v>561</v>
      </c>
      <c r="C59" s="37">
        <v>3</v>
      </c>
    </row>
    <row r="60" spans="1:3" ht="27" customHeight="1">
      <c r="A60" s="41" t="s">
        <v>688</v>
      </c>
      <c r="B60" s="42" t="s">
        <v>578</v>
      </c>
      <c r="C60" s="37">
        <v>3</v>
      </c>
    </row>
    <row r="61" spans="1:3" ht="27" customHeight="1">
      <c r="A61" s="41" t="s">
        <v>689</v>
      </c>
      <c r="B61" s="42" t="s">
        <v>597</v>
      </c>
      <c r="C61" s="37">
        <v>3</v>
      </c>
    </row>
    <row r="62" spans="1:3" ht="27" customHeight="1">
      <c r="A62" s="39"/>
      <c r="B62" s="39"/>
      <c r="C62" s="37"/>
    </row>
    <row r="63" spans="1:3" ht="27" customHeight="1">
      <c r="A63" s="61" t="s">
        <v>294</v>
      </c>
      <c r="B63" s="61"/>
      <c r="C63" s="43">
        <f>SUM(C42:C61)</f>
        <v>70</v>
      </c>
    </row>
    <row r="64" spans="1:3" ht="27" customHeight="1">
      <c r="A64" s="62" t="s">
        <v>295</v>
      </c>
      <c r="B64" s="62"/>
      <c r="C64" s="44">
        <f>SUM(C2:C61)</f>
        <v>150</v>
      </c>
    </row>
    <row r="65" spans="1:3" ht="27" customHeight="1">
      <c r="A65" s="39"/>
      <c r="B65" s="39"/>
      <c r="C65" s="39"/>
    </row>
    <row r="66" spans="1:3" ht="27" customHeight="1">
      <c r="A66" s="59" t="s">
        <v>690</v>
      </c>
      <c r="B66" s="59"/>
      <c r="C66" s="59"/>
    </row>
    <row r="67" spans="1:3" ht="27" customHeight="1">
      <c r="A67" s="59"/>
      <c r="B67" s="59"/>
      <c r="C67" s="59"/>
    </row>
    <row r="68" spans="1:3" ht="27" customHeight="1">
      <c r="A68" s="59"/>
      <c r="B68" s="59"/>
      <c r="C68" s="59"/>
    </row>
    <row r="69" spans="1:3" ht="27" customHeight="1">
      <c r="A69" s="59"/>
      <c r="B69" s="59"/>
      <c r="C69" s="59"/>
    </row>
    <row r="70" spans="1:3" ht="27" customHeight="1"/>
    <row r="71" spans="1:3" ht="27" customHeight="1"/>
    <row r="72" spans="1:3" ht="27" customHeight="1"/>
    <row r="73" spans="1:3" ht="27" customHeight="1"/>
    <row r="74" spans="1:3" ht="27" customHeight="1"/>
    <row r="75" spans="1:3" ht="27" customHeight="1"/>
    <row r="76" spans="1:3" ht="27" customHeight="1"/>
    <row r="77" spans="1:3" ht="27" customHeight="1"/>
    <row r="78" spans="1:3" ht="27" customHeight="1"/>
    <row r="79" spans="1:3" ht="27" customHeight="1"/>
    <row r="80" spans="1:3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</sheetData>
  <mergeCells count="3">
    <mergeCell ref="A63:B63"/>
    <mergeCell ref="A64:B64"/>
    <mergeCell ref="A66:C69"/>
  </mergeCells>
  <phoneticPr fontId="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D42EB-A705-492B-9436-785630BEF22B}">
  <dimension ref="A1:C88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4" customWidth="1"/>
    <col min="2" max="2" width="62" customWidth="1"/>
    <col min="3" max="3" width="12" customWidth="1"/>
  </cols>
  <sheetData>
    <row r="1" spans="1:3" ht="30" customHeight="1">
      <c r="A1" s="40" t="s">
        <v>257</v>
      </c>
      <c r="B1" s="40" t="s">
        <v>258</v>
      </c>
      <c r="C1" s="40" t="s">
        <v>259</v>
      </c>
    </row>
    <row r="2" spans="1:3" ht="27" customHeight="1">
      <c r="A2" s="41" t="s">
        <v>260</v>
      </c>
      <c r="B2" s="42" t="s">
        <v>357</v>
      </c>
      <c r="C2" s="37">
        <v>2</v>
      </c>
    </row>
    <row r="3" spans="1:3" ht="27" customHeight="1">
      <c r="A3" s="41" t="s">
        <v>261</v>
      </c>
      <c r="B3" s="42" t="s">
        <v>362</v>
      </c>
      <c r="C3" s="37">
        <v>2</v>
      </c>
    </row>
    <row r="4" spans="1:3" ht="27" customHeight="1">
      <c r="A4" s="41" t="s">
        <v>262</v>
      </c>
      <c r="B4" s="42" t="s">
        <v>369</v>
      </c>
      <c r="C4" s="37">
        <v>2</v>
      </c>
    </row>
    <row r="5" spans="1:3" ht="27" customHeight="1">
      <c r="A5" s="41" t="s">
        <v>263</v>
      </c>
      <c r="B5" s="42" t="s">
        <v>381</v>
      </c>
      <c r="C5" s="37">
        <v>2</v>
      </c>
    </row>
    <row r="6" spans="1:3" ht="27" customHeight="1">
      <c r="A6" s="41" t="s">
        <v>264</v>
      </c>
      <c r="B6" s="42" t="s">
        <v>392</v>
      </c>
      <c r="C6" s="37">
        <v>2</v>
      </c>
    </row>
    <row r="7" spans="1:3" ht="27" customHeight="1">
      <c r="A7" s="41" t="s">
        <v>265</v>
      </c>
      <c r="B7" s="42" t="s">
        <v>392</v>
      </c>
      <c r="C7" s="37">
        <v>2</v>
      </c>
    </row>
    <row r="8" spans="1:3" ht="27" customHeight="1">
      <c r="A8" s="41" t="s">
        <v>266</v>
      </c>
      <c r="B8" s="42" t="s">
        <v>392</v>
      </c>
      <c r="C8" s="37">
        <v>2</v>
      </c>
    </row>
    <row r="9" spans="1:3" ht="27" customHeight="1">
      <c r="A9" s="41" t="s">
        <v>267</v>
      </c>
      <c r="B9" s="42" t="s">
        <v>404</v>
      </c>
      <c r="C9" s="37">
        <v>2</v>
      </c>
    </row>
    <row r="10" spans="1:3" ht="27" customHeight="1">
      <c r="A10" s="41" t="s">
        <v>268</v>
      </c>
      <c r="B10" s="42" t="s">
        <v>369</v>
      </c>
      <c r="C10" s="37">
        <v>2</v>
      </c>
    </row>
    <row r="11" spans="1:3" ht="27" customHeight="1">
      <c r="A11" s="41" t="s">
        <v>269</v>
      </c>
      <c r="B11" s="42" t="s">
        <v>404</v>
      </c>
      <c r="C11" s="37">
        <v>2</v>
      </c>
    </row>
    <row r="12" spans="1:3" ht="27" customHeight="1">
      <c r="A12" s="41" t="s">
        <v>270</v>
      </c>
      <c r="B12" s="42" t="s">
        <v>404</v>
      </c>
      <c r="C12" s="37">
        <v>2</v>
      </c>
    </row>
    <row r="13" spans="1:3" ht="27" customHeight="1">
      <c r="A13" s="41" t="s">
        <v>271</v>
      </c>
      <c r="B13" s="42" t="s">
        <v>424</v>
      </c>
      <c r="C13" s="37">
        <v>2</v>
      </c>
    </row>
    <row r="14" spans="1:3" ht="27" customHeight="1">
      <c r="A14" s="41" t="s">
        <v>272</v>
      </c>
      <c r="B14" s="42" t="s">
        <v>691</v>
      </c>
      <c r="C14" s="37">
        <v>2</v>
      </c>
    </row>
    <row r="15" spans="1:3" ht="27" customHeight="1">
      <c r="A15" s="41" t="s">
        <v>274</v>
      </c>
      <c r="B15" s="42" t="s">
        <v>424</v>
      </c>
      <c r="C15" s="37">
        <v>2</v>
      </c>
    </row>
    <row r="16" spans="1:3" ht="27" customHeight="1">
      <c r="A16" s="41" t="s">
        <v>276</v>
      </c>
      <c r="B16" s="42" t="s">
        <v>424</v>
      </c>
      <c r="C16" s="37">
        <v>2</v>
      </c>
    </row>
    <row r="17" spans="1:3" ht="27" customHeight="1">
      <c r="A17" s="41" t="s">
        <v>277</v>
      </c>
      <c r="B17" s="42" t="s">
        <v>434</v>
      </c>
      <c r="C17" s="37">
        <v>2</v>
      </c>
    </row>
    <row r="18" spans="1:3" ht="27" customHeight="1">
      <c r="A18" s="41" t="s">
        <v>279</v>
      </c>
      <c r="B18" s="42" t="s">
        <v>434</v>
      </c>
      <c r="C18" s="37">
        <v>2</v>
      </c>
    </row>
    <row r="19" spans="1:3" ht="27" customHeight="1">
      <c r="A19" s="41" t="s">
        <v>303</v>
      </c>
      <c r="B19" s="42" t="s">
        <v>434</v>
      </c>
      <c r="C19" s="37">
        <v>2</v>
      </c>
    </row>
    <row r="20" spans="1:3" ht="27" customHeight="1">
      <c r="A20" s="41" t="s">
        <v>318</v>
      </c>
      <c r="B20" s="42" t="s">
        <v>463</v>
      </c>
      <c r="C20" s="37">
        <v>2</v>
      </c>
    </row>
    <row r="21" spans="1:3" ht="27" customHeight="1">
      <c r="A21" s="41" t="s">
        <v>327</v>
      </c>
      <c r="B21" s="42" t="s">
        <v>479</v>
      </c>
      <c r="C21" s="37">
        <v>2</v>
      </c>
    </row>
    <row r="22" spans="1:3" ht="27" customHeight="1">
      <c r="A22" s="41" t="s">
        <v>287</v>
      </c>
      <c r="B22" s="42" t="s">
        <v>479</v>
      </c>
      <c r="C22" s="37">
        <v>2</v>
      </c>
    </row>
    <row r="23" spans="1:3" ht="27" customHeight="1">
      <c r="A23" s="41" t="s">
        <v>329</v>
      </c>
      <c r="B23" s="42" t="s">
        <v>479</v>
      </c>
      <c r="C23" s="37">
        <v>2</v>
      </c>
    </row>
    <row r="24" spans="1:3" ht="27" customHeight="1">
      <c r="A24" s="41" t="s">
        <v>330</v>
      </c>
      <c r="B24" s="42" t="s">
        <v>489</v>
      </c>
      <c r="C24" s="37">
        <v>2</v>
      </c>
    </row>
    <row r="25" spans="1:3" ht="27" customHeight="1">
      <c r="A25" s="41" t="s">
        <v>332</v>
      </c>
      <c r="B25" s="42" t="s">
        <v>500</v>
      </c>
      <c r="C25" s="37">
        <v>2</v>
      </c>
    </row>
    <row r="26" spans="1:3" ht="27" customHeight="1">
      <c r="A26" s="41" t="s">
        <v>337</v>
      </c>
      <c r="B26" s="42" t="s">
        <v>500</v>
      </c>
      <c r="C26" s="37">
        <v>2</v>
      </c>
    </row>
    <row r="27" spans="1:3" ht="27" customHeight="1">
      <c r="A27" s="41" t="s">
        <v>338</v>
      </c>
      <c r="B27" s="42" t="s">
        <v>534</v>
      </c>
      <c r="C27" s="37">
        <v>2</v>
      </c>
    </row>
    <row r="28" spans="1:3" ht="27" customHeight="1">
      <c r="A28" s="41" t="s">
        <v>339</v>
      </c>
      <c r="B28" s="42" t="s">
        <v>522</v>
      </c>
      <c r="C28" s="37">
        <v>2</v>
      </c>
    </row>
    <row r="29" spans="1:3" ht="27" customHeight="1">
      <c r="A29" s="41" t="s">
        <v>652</v>
      </c>
      <c r="B29" s="42" t="s">
        <v>500</v>
      </c>
      <c r="C29" s="37">
        <v>2</v>
      </c>
    </row>
    <row r="30" spans="1:3" ht="27" customHeight="1">
      <c r="A30" s="41" t="s">
        <v>653</v>
      </c>
      <c r="B30" s="42" t="s">
        <v>534</v>
      </c>
      <c r="C30" s="37">
        <v>2</v>
      </c>
    </row>
    <row r="31" spans="1:3" ht="27" customHeight="1">
      <c r="A31" s="41" t="s">
        <v>654</v>
      </c>
      <c r="B31" s="42" t="s">
        <v>500</v>
      </c>
      <c r="C31" s="37">
        <v>2</v>
      </c>
    </row>
    <row r="32" spans="1:3" ht="27" customHeight="1">
      <c r="A32" s="41" t="s">
        <v>655</v>
      </c>
      <c r="B32" s="42" t="s">
        <v>549</v>
      </c>
      <c r="C32" s="37">
        <v>2</v>
      </c>
    </row>
    <row r="33" spans="1:3" ht="27" customHeight="1">
      <c r="A33" s="41" t="s">
        <v>656</v>
      </c>
      <c r="B33" s="42" t="s">
        <v>549</v>
      </c>
      <c r="C33" s="37">
        <v>2</v>
      </c>
    </row>
    <row r="34" spans="1:3" ht="27" customHeight="1">
      <c r="A34" s="41" t="s">
        <v>657</v>
      </c>
      <c r="B34" s="42" t="s">
        <v>561</v>
      </c>
      <c r="C34" s="37">
        <v>2</v>
      </c>
    </row>
    <row r="35" spans="1:3" ht="27" customHeight="1">
      <c r="A35" s="41" t="s">
        <v>659</v>
      </c>
      <c r="B35" s="42" t="s">
        <v>568</v>
      </c>
      <c r="C35" s="37">
        <v>2</v>
      </c>
    </row>
    <row r="36" spans="1:3" ht="27" customHeight="1">
      <c r="A36" s="41" t="s">
        <v>660</v>
      </c>
      <c r="B36" s="42" t="s">
        <v>692</v>
      </c>
      <c r="C36" s="37">
        <v>2</v>
      </c>
    </row>
    <row r="37" spans="1:3" ht="27" customHeight="1">
      <c r="A37" s="41" t="s">
        <v>661</v>
      </c>
      <c r="B37" s="42" t="s">
        <v>578</v>
      </c>
      <c r="C37" s="37">
        <v>2</v>
      </c>
    </row>
    <row r="38" spans="1:3" ht="27" customHeight="1">
      <c r="A38" s="41" t="s">
        <v>662</v>
      </c>
      <c r="B38" s="42" t="s">
        <v>578</v>
      </c>
      <c r="C38" s="37">
        <v>2</v>
      </c>
    </row>
    <row r="39" spans="1:3" ht="27" customHeight="1">
      <c r="A39" s="41" t="s">
        <v>664</v>
      </c>
      <c r="B39" s="42" t="s">
        <v>623</v>
      </c>
      <c r="C39" s="37">
        <v>2</v>
      </c>
    </row>
    <row r="40" spans="1:3" ht="27" customHeight="1">
      <c r="A40" s="41" t="s">
        <v>665</v>
      </c>
      <c r="B40" s="42" t="s">
        <v>623</v>
      </c>
      <c r="C40" s="37">
        <v>2</v>
      </c>
    </row>
    <row r="41" spans="1:3" ht="27" customHeight="1">
      <c r="A41" s="41" t="s">
        <v>666</v>
      </c>
      <c r="B41" s="42" t="s">
        <v>634</v>
      </c>
      <c r="C41" s="37">
        <v>2</v>
      </c>
    </row>
    <row r="42" spans="1:3" ht="27" customHeight="1">
      <c r="A42" s="41" t="s">
        <v>667</v>
      </c>
      <c r="B42" s="42" t="s">
        <v>381</v>
      </c>
      <c r="C42" s="37">
        <v>4</v>
      </c>
    </row>
    <row r="43" spans="1:3" ht="27" customHeight="1">
      <c r="A43" s="41" t="s">
        <v>668</v>
      </c>
      <c r="B43" s="42" t="s">
        <v>381</v>
      </c>
      <c r="C43" s="37">
        <v>9</v>
      </c>
    </row>
    <row r="44" spans="1:3" ht="27" customHeight="1">
      <c r="A44" s="41" t="s">
        <v>670</v>
      </c>
      <c r="B44" s="42" t="s">
        <v>392</v>
      </c>
      <c r="C44" s="37">
        <v>6</v>
      </c>
    </row>
    <row r="45" spans="1:3" ht="27" customHeight="1">
      <c r="A45" s="41" t="s">
        <v>671</v>
      </c>
      <c r="B45" s="42" t="s">
        <v>392</v>
      </c>
      <c r="C45" s="37">
        <v>2</v>
      </c>
    </row>
    <row r="46" spans="1:3" ht="27" customHeight="1">
      <c r="A46" s="41" t="s">
        <v>672</v>
      </c>
      <c r="B46" s="42" t="s">
        <v>392</v>
      </c>
      <c r="C46" s="37">
        <v>2</v>
      </c>
    </row>
    <row r="47" spans="1:3" ht="27" customHeight="1">
      <c r="A47" s="41" t="s">
        <v>674</v>
      </c>
      <c r="B47" s="42" t="s">
        <v>453</v>
      </c>
      <c r="C47" s="37">
        <v>2</v>
      </c>
    </row>
    <row r="48" spans="1:3" ht="27" customHeight="1">
      <c r="A48" s="41" t="s">
        <v>675</v>
      </c>
      <c r="B48" s="42" t="s">
        <v>693</v>
      </c>
      <c r="C48" s="37">
        <v>5</v>
      </c>
    </row>
    <row r="49" spans="1:3" ht="27" customHeight="1">
      <c r="A49" s="41" t="s">
        <v>676</v>
      </c>
      <c r="B49" s="42" t="s">
        <v>463</v>
      </c>
      <c r="C49" s="37">
        <v>2</v>
      </c>
    </row>
    <row r="50" spans="1:3" ht="27" customHeight="1">
      <c r="A50" s="41" t="s">
        <v>677</v>
      </c>
      <c r="B50" s="42" t="s">
        <v>463</v>
      </c>
      <c r="C50" s="37">
        <v>2</v>
      </c>
    </row>
    <row r="51" spans="1:3" ht="27" customHeight="1">
      <c r="A51" s="41" t="s">
        <v>694</v>
      </c>
      <c r="B51" s="42" t="s">
        <v>453</v>
      </c>
      <c r="C51" s="37">
        <v>2</v>
      </c>
    </row>
    <row r="52" spans="1:3" ht="27" customHeight="1">
      <c r="A52" s="41" t="s">
        <v>678</v>
      </c>
      <c r="B52" s="42" t="s">
        <v>453</v>
      </c>
      <c r="C52" s="37">
        <v>3</v>
      </c>
    </row>
    <row r="53" spans="1:3" ht="27" customHeight="1">
      <c r="A53" s="41" t="s">
        <v>679</v>
      </c>
      <c r="B53" s="42" t="s">
        <v>695</v>
      </c>
      <c r="C53" s="37">
        <v>5</v>
      </c>
    </row>
    <row r="54" spans="1:3" ht="27" customHeight="1">
      <c r="A54" s="41" t="s">
        <v>696</v>
      </c>
      <c r="B54" s="42" t="s">
        <v>453</v>
      </c>
      <c r="C54" s="37">
        <v>2</v>
      </c>
    </row>
    <row r="55" spans="1:3" ht="27" customHeight="1">
      <c r="A55" s="41" t="s">
        <v>697</v>
      </c>
      <c r="B55" s="42" t="s">
        <v>522</v>
      </c>
      <c r="C55" s="37">
        <v>3</v>
      </c>
    </row>
    <row r="56" spans="1:3" ht="27" customHeight="1">
      <c r="A56" s="41" t="s">
        <v>698</v>
      </c>
      <c r="B56" s="42" t="s">
        <v>522</v>
      </c>
      <c r="C56" s="37">
        <v>4</v>
      </c>
    </row>
    <row r="57" spans="1:3" ht="27" customHeight="1">
      <c r="A57" s="41" t="s">
        <v>682</v>
      </c>
      <c r="B57" s="42" t="s">
        <v>500</v>
      </c>
      <c r="C57" s="37">
        <v>2</v>
      </c>
    </row>
    <row r="58" spans="1:3" ht="27" customHeight="1">
      <c r="A58" s="41" t="s">
        <v>684</v>
      </c>
      <c r="B58" s="42" t="s">
        <v>500</v>
      </c>
      <c r="C58" s="37">
        <v>3</v>
      </c>
    </row>
    <row r="59" spans="1:3" ht="27" customHeight="1">
      <c r="A59" s="41" t="s">
        <v>686</v>
      </c>
      <c r="B59" s="42" t="s">
        <v>500</v>
      </c>
      <c r="C59" s="37">
        <v>3</v>
      </c>
    </row>
    <row r="60" spans="1:3" ht="27" customHeight="1">
      <c r="A60" s="41" t="s">
        <v>687</v>
      </c>
      <c r="B60" s="42" t="s">
        <v>597</v>
      </c>
      <c r="C60" s="37">
        <v>1</v>
      </c>
    </row>
    <row r="61" spans="1:3" ht="27" customHeight="1">
      <c r="A61" s="41" t="s">
        <v>688</v>
      </c>
      <c r="B61" s="42" t="s">
        <v>597</v>
      </c>
      <c r="C61" s="37">
        <v>1</v>
      </c>
    </row>
    <row r="62" spans="1:3" ht="27" customHeight="1">
      <c r="A62" s="41" t="s">
        <v>689</v>
      </c>
      <c r="B62" s="42" t="s">
        <v>597</v>
      </c>
      <c r="C62" s="37">
        <v>2</v>
      </c>
    </row>
    <row r="63" spans="1:3" ht="27" customHeight="1">
      <c r="A63" s="41" t="s">
        <v>699</v>
      </c>
      <c r="B63" s="42" t="s">
        <v>597</v>
      </c>
      <c r="C63" s="37">
        <v>3</v>
      </c>
    </row>
    <row r="64" spans="1:3" ht="27" customHeight="1">
      <c r="A64" s="41" t="s">
        <v>700</v>
      </c>
      <c r="B64" s="42" t="s">
        <v>597</v>
      </c>
      <c r="C64" s="37">
        <v>2</v>
      </c>
    </row>
    <row r="65" spans="1:3" ht="27" customHeight="1">
      <c r="A65" s="39"/>
      <c r="B65" s="39"/>
      <c r="C65" s="37"/>
    </row>
    <row r="66" spans="1:3" ht="27" customHeight="1">
      <c r="A66" s="61" t="s">
        <v>294</v>
      </c>
      <c r="B66" s="61"/>
      <c r="C66" s="43">
        <f>SUM(C42:C64)</f>
        <v>70</v>
      </c>
    </row>
    <row r="67" spans="1:3" ht="27" customHeight="1">
      <c r="A67" s="62" t="s">
        <v>295</v>
      </c>
      <c r="B67" s="62"/>
      <c r="C67" s="44">
        <f>SUM(C2:C64)</f>
        <v>150</v>
      </c>
    </row>
    <row r="68" spans="1:3" ht="27" customHeight="1">
      <c r="A68" s="39"/>
      <c r="B68" s="39"/>
      <c r="C68" s="39"/>
    </row>
    <row r="69" spans="1:3" ht="27" customHeight="1">
      <c r="A69" s="59" t="s">
        <v>701</v>
      </c>
      <c r="B69" s="59"/>
      <c r="C69" s="59"/>
    </row>
    <row r="70" spans="1:3" ht="27" customHeight="1">
      <c r="A70" s="59"/>
      <c r="B70" s="59"/>
      <c r="C70" s="59"/>
    </row>
    <row r="71" spans="1:3" ht="27" customHeight="1">
      <c r="A71" s="59"/>
      <c r="B71" s="59"/>
      <c r="C71" s="59"/>
    </row>
    <row r="72" spans="1:3" ht="27" customHeight="1">
      <c r="A72" s="59"/>
      <c r="B72" s="59"/>
      <c r="C72" s="59"/>
    </row>
    <row r="73" spans="1:3" ht="27" customHeight="1"/>
    <row r="74" spans="1:3" ht="27" customHeight="1"/>
    <row r="75" spans="1:3" ht="27" customHeight="1"/>
    <row r="76" spans="1:3" ht="27" customHeight="1"/>
    <row r="77" spans="1:3" ht="27" customHeight="1"/>
    <row r="78" spans="1:3" ht="27" customHeight="1"/>
    <row r="79" spans="1:3" ht="27" customHeight="1"/>
    <row r="80" spans="1:3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</sheetData>
  <mergeCells count="3">
    <mergeCell ref="A66:B66"/>
    <mergeCell ref="A67:B67"/>
    <mergeCell ref="A69:C72"/>
  </mergeCells>
  <phoneticPr fontId="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52DB-66B8-4336-83CE-AC8CCD91F3AA}">
  <dimension ref="A1:C88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4" customWidth="1"/>
    <col min="2" max="2" width="62" customWidth="1"/>
    <col min="3" max="3" width="12" customWidth="1"/>
  </cols>
  <sheetData>
    <row r="1" spans="1:3" ht="30" customHeight="1">
      <c r="A1" s="40" t="s">
        <v>257</v>
      </c>
      <c r="B1" s="40" t="s">
        <v>258</v>
      </c>
      <c r="C1" s="40" t="s">
        <v>259</v>
      </c>
    </row>
    <row r="2" spans="1:3" ht="27" customHeight="1">
      <c r="A2" s="41" t="s">
        <v>260</v>
      </c>
      <c r="B2" s="42" t="s">
        <v>357</v>
      </c>
      <c r="C2" s="37">
        <v>2</v>
      </c>
    </row>
    <row r="3" spans="1:3" ht="27" customHeight="1">
      <c r="A3" s="41" t="s">
        <v>261</v>
      </c>
      <c r="B3" s="42" t="s">
        <v>357</v>
      </c>
      <c r="C3" s="37">
        <v>2</v>
      </c>
    </row>
    <row r="4" spans="1:3" ht="27" customHeight="1">
      <c r="A4" s="41" t="s">
        <v>262</v>
      </c>
      <c r="B4" s="42" t="s">
        <v>362</v>
      </c>
      <c r="C4" s="37">
        <v>2</v>
      </c>
    </row>
    <row r="5" spans="1:3" ht="27" customHeight="1">
      <c r="A5" s="41" t="s">
        <v>263</v>
      </c>
      <c r="B5" s="42" t="s">
        <v>369</v>
      </c>
      <c r="C5" s="37">
        <v>2</v>
      </c>
    </row>
    <row r="6" spans="1:3" ht="27" customHeight="1">
      <c r="A6" s="41" t="s">
        <v>264</v>
      </c>
      <c r="B6" s="42" t="s">
        <v>369</v>
      </c>
      <c r="C6" s="37">
        <v>2</v>
      </c>
    </row>
    <row r="7" spans="1:3" ht="27" customHeight="1">
      <c r="A7" s="41" t="s">
        <v>265</v>
      </c>
      <c r="B7" s="42" t="s">
        <v>381</v>
      </c>
      <c r="C7" s="37">
        <v>2</v>
      </c>
    </row>
    <row r="8" spans="1:3" ht="27" customHeight="1">
      <c r="A8" s="41" t="s">
        <v>266</v>
      </c>
      <c r="B8" s="42" t="s">
        <v>392</v>
      </c>
      <c r="C8" s="37">
        <v>2</v>
      </c>
    </row>
    <row r="9" spans="1:3" ht="27" customHeight="1">
      <c r="A9" s="41" t="s">
        <v>267</v>
      </c>
      <c r="B9" s="42" t="s">
        <v>392</v>
      </c>
      <c r="C9" s="37">
        <v>2</v>
      </c>
    </row>
    <row r="10" spans="1:3" ht="27" customHeight="1">
      <c r="A10" s="41" t="s">
        <v>268</v>
      </c>
      <c r="B10" s="42" t="s">
        <v>392</v>
      </c>
      <c r="C10" s="37">
        <v>2</v>
      </c>
    </row>
    <row r="11" spans="1:3" ht="27" customHeight="1">
      <c r="A11" s="41" t="s">
        <v>269</v>
      </c>
      <c r="B11" s="42" t="s">
        <v>404</v>
      </c>
      <c r="C11" s="37">
        <v>2</v>
      </c>
    </row>
    <row r="12" spans="1:3" ht="27" customHeight="1">
      <c r="A12" s="41" t="s">
        <v>270</v>
      </c>
      <c r="B12" s="42" t="s">
        <v>404</v>
      </c>
      <c r="C12" s="37">
        <v>2</v>
      </c>
    </row>
    <row r="13" spans="1:3" ht="27" customHeight="1">
      <c r="A13" s="41" t="s">
        <v>271</v>
      </c>
      <c r="B13" s="42" t="s">
        <v>418</v>
      </c>
      <c r="C13" s="37">
        <v>2</v>
      </c>
    </row>
    <row r="14" spans="1:3" ht="27" customHeight="1">
      <c r="A14" s="41" t="s">
        <v>272</v>
      </c>
      <c r="B14" s="42" t="s">
        <v>424</v>
      </c>
      <c r="C14" s="37">
        <v>2</v>
      </c>
    </row>
    <row r="15" spans="1:3" ht="27" customHeight="1">
      <c r="A15" s="41" t="s">
        <v>274</v>
      </c>
      <c r="B15" s="42" t="s">
        <v>424</v>
      </c>
      <c r="C15" s="37">
        <v>2</v>
      </c>
    </row>
    <row r="16" spans="1:3" ht="27" customHeight="1">
      <c r="A16" s="41" t="s">
        <v>276</v>
      </c>
      <c r="B16" s="42" t="s">
        <v>434</v>
      </c>
      <c r="C16" s="37">
        <v>2</v>
      </c>
    </row>
    <row r="17" spans="1:3" ht="27" customHeight="1">
      <c r="A17" s="41" t="s">
        <v>277</v>
      </c>
      <c r="B17" s="42" t="s">
        <v>424</v>
      </c>
      <c r="C17" s="37">
        <v>2</v>
      </c>
    </row>
    <row r="18" spans="1:3" ht="27" customHeight="1">
      <c r="A18" s="41" t="s">
        <v>279</v>
      </c>
      <c r="B18" s="42" t="s">
        <v>453</v>
      </c>
      <c r="C18" s="37">
        <v>2</v>
      </c>
    </row>
    <row r="19" spans="1:3" ht="27" customHeight="1">
      <c r="A19" s="41" t="s">
        <v>303</v>
      </c>
      <c r="B19" s="42" t="s">
        <v>463</v>
      </c>
      <c r="C19" s="37">
        <v>2</v>
      </c>
    </row>
    <row r="20" spans="1:3" ht="27" customHeight="1">
      <c r="A20" s="41" t="s">
        <v>318</v>
      </c>
      <c r="B20" s="42" t="s">
        <v>463</v>
      </c>
      <c r="C20" s="37">
        <v>2</v>
      </c>
    </row>
    <row r="21" spans="1:3" ht="27" customHeight="1">
      <c r="A21" s="41" t="s">
        <v>327</v>
      </c>
      <c r="B21" s="42" t="s">
        <v>479</v>
      </c>
      <c r="C21" s="37">
        <v>2</v>
      </c>
    </row>
    <row r="22" spans="1:3" ht="27" customHeight="1">
      <c r="A22" s="41" t="s">
        <v>287</v>
      </c>
      <c r="B22" s="42" t="s">
        <v>463</v>
      </c>
      <c r="C22" s="37">
        <v>2</v>
      </c>
    </row>
    <row r="23" spans="1:3" ht="27" customHeight="1">
      <c r="A23" s="41" t="s">
        <v>329</v>
      </c>
      <c r="B23" s="42" t="s">
        <v>479</v>
      </c>
      <c r="C23" s="37">
        <v>2</v>
      </c>
    </row>
    <row r="24" spans="1:3" ht="27" customHeight="1">
      <c r="A24" s="41" t="s">
        <v>330</v>
      </c>
      <c r="B24" s="42" t="s">
        <v>489</v>
      </c>
      <c r="C24" s="37">
        <v>2</v>
      </c>
    </row>
    <row r="25" spans="1:3" ht="27" customHeight="1">
      <c r="A25" s="41" t="s">
        <v>332</v>
      </c>
      <c r="B25" s="42" t="s">
        <v>489</v>
      </c>
      <c r="C25" s="37">
        <v>2</v>
      </c>
    </row>
    <row r="26" spans="1:3" ht="27" customHeight="1">
      <c r="A26" s="41" t="s">
        <v>337</v>
      </c>
      <c r="B26" s="42" t="s">
        <v>522</v>
      </c>
      <c r="C26" s="37">
        <v>2</v>
      </c>
    </row>
    <row r="27" spans="1:3" ht="27" customHeight="1">
      <c r="A27" s="41" t="s">
        <v>338</v>
      </c>
      <c r="B27" s="42" t="s">
        <v>489</v>
      </c>
      <c r="C27" s="37">
        <v>2</v>
      </c>
    </row>
    <row r="28" spans="1:3" ht="27" customHeight="1">
      <c r="A28" s="41" t="s">
        <v>339</v>
      </c>
      <c r="B28" s="42" t="s">
        <v>500</v>
      </c>
      <c r="C28" s="37">
        <v>2</v>
      </c>
    </row>
    <row r="29" spans="1:3" ht="27" customHeight="1">
      <c r="A29" s="41" t="s">
        <v>652</v>
      </c>
      <c r="B29" s="42" t="s">
        <v>522</v>
      </c>
      <c r="C29" s="37">
        <v>2</v>
      </c>
    </row>
    <row r="30" spans="1:3" ht="27" customHeight="1">
      <c r="A30" s="41" t="s">
        <v>653</v>
      </c>
      <c r="B30" s="42" t="s">
        <v>500</v>
      </c>
      <c r="C30" s="37">
        <v>2</v>
      </c>
    </row>
    <row r="31" spans="1:3" ht="27" customHeight="1">
      <c r="A31" s="41" t="s">
        <v>654</v>
      </c>
      <c r="B31" s="42" t="s">
        <v>522</v>
      </c>
      <c r="C31" s="37">
        <v>2</v>
      </c>
    </row>
    <row r="32" spans="1:3" ht="27" customHeight="1">
      <c r="A32" s="41" t="s">
        <v>655</v>
      </c>
      <c r="B32" s="42" t="s">
        <v>534</v>
      </c>
      <c r="C32" s="37">
        <v>2</v>
      </c>
    </row>
    <row r="33" spans="1:3" ht="27" customHeight="1">
      <c r="A33" s="41" t="s">
        <v>656</v>
      </c>
      <c r="B33" s="42" t="s">
        <v>549</v>
      </c>
      <c r="C33" s="37">
        <v>2</v>
      </c>
    </row>
    <row r="34" spans="1:3" ht="27" customHeight="1">
      <c r="A34" s="41" t="s">
        <v>657</v>
      </c>
      <c r="B34" s="42" t="s">
        <v>561</v>
      </c>
      <c r="C34" s="37">
        <v>2</v>
      </c>
    </row>
    <row r="35" spans="1:3" ht="27" customHeight="1">
      <c r="A35" s="41" t="s">
        <v>659</v>
      </c>
      <c r="B35" s="42" t="s">
        <v>568</v>
      </c>
      <c r="C35" s="37">
        <v>2</v>
      </c>
    </row>
    <row r="36" spans="1:3" ht="27" customHeight="1">
      <c r="A36" s="41" t="s">
        <v>660</v>
      </c>
      <c r="B36" s="42" t="s">
        <v>578</v>
      </c>
      <c r="C36" s="37">
        <v>2</v>
      </c>
    </row>
    <row r="37" spans="1:3" ht="27" customHeight="1">
      <c r="A37" s="41" t="s">
        <v>661</v>
      </c>
      <c r="B37" s="42" t="s">
        <v>578</v>
      </c>
      <c r="C37" s="37">
        <v>2</v>
      </c>
    </row>
    <row r="38" spans="1:3" ht="27" customHeight="1">
      <c r="A38" s="41" t="s">
        <v>662</v>
      </c>
      <c r="B38" s="42" t="s">
        <v>578</v>
      </c>
      <c r="C38" s="37">
        <v>2</v>
      </c>
    </row>
    <row r="39" spans="1:3" ht="27" customHeight="1">
      <c r="A39" s="41" t="s">
        <v>664</v>
      </c>
      <c r="B39" s="42" t="s">
        <v>597</v>
      </c>
      <c r="C39" s="37">
        <v>2</v>
      </c>
    </row>
    <row r="40" spans="1:3" ht="27" customHeight="1">
      <c r="A40" s="41" t="s">
        <v>665</v>
      </c>
      <c r="B40" s="42" t="s">
        <v>597</v>
      </c>
      <c r="C40" s="37">
        <v>2</v>
      </c>
    </row>
    <row r="41" spans="1:3" ht="27" customHeight="1">
      <c r="A41" s="41" t="s">
        <v>666</v>
      </c>
      <c r="B41" s="42" t="s">
        <v>597</v>
      </c>
      <c r="C41" s="37">
        <v>2</v>
      </c>
    </row>
    <row r="42" spans="1:3" ht="27" customHeight="1">
      <c r="A42" s="41" t="s">
        <v>667</v>
      </c>
      <c r="B42" s="42" t="s">
        <v>381</v>
      </c>
      <c r="C42" s="37">
        <v>4</v>
      </c>
    </row>
    <row r="43" spans="1:3" ht="27" customHeight="1">
      <c r="A43" s="41" t="s">
        <v>668</v>
      </c>
      <c r="B43" s="42" t="s">
        <v>381</v>
      </c>
      <c r="C43" s="37">
        <v>9</v>
      </c>
    </row>
    <row r="44" spans="1:3" ht="27" customHeight="1">
      <c r="A44" s="41" t="s">
        <v>670</v>
      </c>
      <c r="B44" s="42" t="s">
        <v>404</v>
      </c>
      <c r="C44" s="37">
        <v>7</v>
      </c>
    </row>
    <row r="45" spans="1:3" ht="27" customHeight="1">
      <c r="A45" s="41" t="s">
        <v>671</v>
      </c>
      <c r="B45" s="42" t="s">
        <v>404</v>
      </c>
      <c r="C45" s="37">
        <v>3</v>
      </c>
    </row>
    <row r="46" spans="1:3" ht="27" customHeight="1">
      <c r="A46" s="41" t="s">
        <v>674</v>
      </c>
      <c r="B46" s="42" t="s">
        <v>434</v>
      </c>
      <c r="C46" s="37">
        <v>4</v>
      </c>
    </row>
    <row r="47" spans="1:3" ht="27" customHeight="1">
      <c r="A47" s="41" t="s">
        <v>675</v>
      </c>
      <c r="B47" s="42" t="s">
        <v>434</v>
      </c>
      <c r="C47" s="37">
        <v>2</v>
      </c>
    </row>
    <row r="48" spans="1:3" ht="27" customHeight="1">
      <c r="A48" s="41" t="s">
        <v>676</v>
      </c>
      <c r="B48" s="42" t="s">
        <v>434</v>
      </c>
      <c r="C48" s="37">
        <v>4</v>
      </c>
    </row>
    <row r="49" spans="1:3" ht="27" customHeight="1">
      <c r="A49" s="41" t="s">
        <v>677</v>
      </c>
      <c r="B49" s="42" t="s">
        <v>434</v>
      </c>
      <c r="C49" s="37">
        <v>4</v>
      </c>
    </row>
    <row r="50" spans="1:3" ht="27" customHeight="1">
      <c r="A50" s="41" t="s">
        <v>678</v>
      </c>
      <c r="B50" s="42" t="s">
        <v>453</v>
      </c>
      <c r="C50" s="37">
        <v>1</v>
      </c>
    </row>
    <row r="51" spans="1:3" ht="27" customHeight="1">
      <c r="A51" s="41" t="s">
        <v>679</v>
      </c>
      <c r="B51" s="42" t="s">
        <v>453</v>
      </c>
      <c r="C51" s="37">
        <v>3</v>
      </c>
    </row>
    <row r="52" spans="1:3" ht="27" customHeight="1">
      <c r="A52" s="41" t="s">
        <v>696</v>
      </c>
      <c r="B52" s="42" t="s">
        <v>453</v>
      </c>
      <c r="C52" s="37">
        <v>3</v>
      </c>
    </row>
    <row r="53" spans="1:3" ht="27" customHeight="1">
      <c r="A53" s="41" t="s">
        <v>702</v>
      </c>
      <c r="B53" s="42" t="s">
        <v>434</v>
      </c>
      <c r="C53" s="37">
        <v>2</v>
      </c>
    </row>
    <row r="54" spans="1:3" ht="27" customHeight="1">
      <c r="A54" s="41" t="s">
        <v>697</v>
      </c>
      <c r="B54" s="42" t="s">
        <v>500</v>
      </c>
      <c r="C54" s="37">
        <v>4</v>
      </c>
    </row>
    <row r="55" spans="1:3" ht="27" customHeight="1">
      <c r="A55" s="41" t="s">
        <v>698</v>
      </c>
      <c r="B55" s="42" t="s">
        <v>500</v>
      </c>
      <c r="C55" s="37">
        <v>3</v>
      </c>
    </row>
    <row r="56" spans="1:3" ht="27" customHeight="1">
      <c r="A56" s="41" t="s">
        <v>682</v>
      </c>
      <c r="B56" s="42" t="s">
        <v>703</v>
      </c>
      <c r="C56" s="37">
        <v>3</v>
      </c>
    </row>
    <row r="57" spans="1:3" ht="27" customHeight="1">
      <c r="A57" s="41" t="s">
        <v>684</v>
      </c>
      <c r="B57" s="42" t="s">
        <v>500</v>
      </c>
      <c r="C57" s="37">
        <v>2</v>
      </c>
    </row>
    <row r="58" spans="1:3" ht="27" customHeight="1">
      <c r="A58" s="41" t="s">
        <v>686</v>
      </c>
      <c r="B58" s="42" t="s">
        <v>549</v>
      </c>
      <c r="C58" s="37">
        <v>1</v>
      </c>
    </row>
    <row r="59" spans="1:3" ht="27" customHeight="1">
      <c r="A59" s="41" t="s">
        <v>704</v>
      </c>
      <c r="B59" s="42" t="s">
        <v>705</v>
      </c>
      <c r="C59" s="37">
        <v>2</v>
      </c>
    </row>
    <row r="60" spans="1:3" ht="27" customHeight="1">
      <c r="A60" s="41" t="s">
        <v>687</v>
      </c>
      <c r="B60" s="42" t="s">
        <v>634</v>
      </c>
      <c r="C60" s="37">
        <v>2</v>
      </c>
    </row>
    <row r="61" spans="1:3" ht="27" customHeight="1">
      <c r="A61" s="41" t="s">
        <v>688</v>
      </c>
      <c r="B61" s="42" t="s">
        <v>623</v>
      </c>
      <c r="C61" s="37">
        <v>2</v>
      </c>
    </row>
    <row r="62" spans="1:3" ht="27" customHeight="1">
      <c r="A62" s="41" t="s">
        <v>689</v>
      </c>
      <c r="B62" s="42" t="s">
        <v>623</v>
      </c>
      <c r="C62" s="37">
        <v>2</v>
      </c>
    </row>
    <row r="63" spans="1:3" ht="27" customHeight="1">
      <c r="A63" s="41" t="s">
        <v>699</v>
      </c>
      <c r="B63" s="42" t="s">
        <v>623</v>
      </c>
      <c r="C63" s="37">
        <v>3</v>
      </c>
    </row>
    <row r="64" spans="1:3" ht="27" customHeight="1">
      <c r="A64" s="39"/>
      <c r="B64" s="39"/>
      <c r="C64" s="37"/>
    </row>
    <row r="65" spans="1:3" ht="27" customHeight="1">
      <c r="A65" s="61" t="s">
        <v>294</v>
      </c>
      <c r="B65" s="61"/>
      <c r="C65" s="43">
        <f>SUM(C42:C63)</f>
        <v>70</v>
      </c>
    </row>
    <row r="66" spans="1:3" ht="27" customHeight="1">
      <c r="A66" s="62" t="s">
        <v>295</v>
      </c>
      <c r="B66" s="62"/>
      <c r="C66" s="44">
        <f>SUM(C2:C63)</f>
        <v>150</v>
      </c>
    </row>
    <row r="67" spans="1:3" ht="27" customHeight="1">
      <c r="A67" s="39"/>
      <c r="B67" s="39"/>
      <c r="C67" s="39"/>
    </row>
    <row r="68" spans="1:3" ht="27" customHeight="1">
      <c r="A68" s="59" t="s">
        <v>706</v>
      </c>
      <c r="B68" s="59"/>
      <c r="C68" s="59"/>
    </row>
    <row r="69" spans="1:3" ht="27" customHeight="1">
      <c r="A69" s="59"/>
      <c r="B69" s="59"/>
      <c r="C69" s="59"/>
    </row>
    <row r="70" spans="1:3" ht="27" customHeight="1">
      <c r="A70" s="59"/>
      <c r="B70" s="59"/>
      <c r="C70" s="59"/>
    </row>
    <row r="71" spans="1:3" ht="27" customHeight="1">
      <c r="A71" s="59"/>
      <c r="B71" s="59"/>
      <c r="C71" s="59"/>
    </row>
    <row r="72" spans="1:3" ht="27" customHeight="1"/>
    <row r="73" spans="1:3" ht="27" customHeight="1"/>
    <row r="74" spans="1:3" ht="27" customHeight="1"/>
    <row r="75" spans="1:3" ht="27" customHeight="1"/>
    <row r="76" spans="1:3" ht="27" customHeight="1"/>
    <row r="77" spans="1:3" ht="27" customHeight="1"/>
    <row r="78" spans="1:3" ht="27" customHeight="1"/>
    <row r="79" spans="1:3" ht="27" customHeight="1"/>
    <row r="80" spans="1:3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</sheetData>
  <mergeCells count="3">
    <mergeCell ref="A65:B65"/>
    <mergeCell ref="A66:B66"/>
    <mergeCell ref="A68:C71"/>
  </mergeCells>
  <phoneticPr fontId="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6B52-D928-4DA2-90D2-466F63DCDAC7}">
  <dimension ref="A1:C88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4" customWidth="1"/>
    <col min="2" max="2" width="62" customWidth="1"/>
    <col min="3" max="3" width="12" customWidth="1"/>
  </cols>
  <sheetData>
    <row r="1" spans="1:3" ht="30" customHeight="1">
      <c r="A1" s="40" t="s">
        <v>257</v>
      </c>
      <c r="B1" s="40" t="s">
        <v>258</v>
      </c>
      <c r="C1" s="40" t="s">
        <v>259</v>
      </c>
    </row>
    <row r="2" spans="1:3" ht="27" customHeight="1">
      <c r="A2" s="41" t="s">
        <v>260</v>
      </c>
      <c r="B2" s="42" t="s">
        <v>354</v>
      </c>
      <c r="C2" s="37">
        <v>2</v>
      </c>
    </row>
    <row r="3" spans="1:3" ht="27" customHeight="1">
      <c r="A3" s="41" t="s">
        <v>261</v>
      </c>
      <c r="B3" s="42" t="s">
        <v>362</v>
      </c>
      <c r="C3" s="37">
        <v>2</v>
      </c>
    </row>
    <row r="4" spans="1:3" ht="27" customHeight="1">
      <c r="A4" s="41" t="s">
        <v>262</v>
      </c>
      <c r="B4" s="42" t="s">
        <v>369</v>
      </c>
      <c r="C4" s="37">
        <v>2</v>
      </c>
    </row>
    <row r="5" spans="1:3" ht="27" customHeight="1">
      <c r="A5" s="41" t="s">
        <v>263</v>
      </c>
      <c r="B5" s="42" t="s">
        <v>369</v>
      </c>
      <c r="C5" s="37">
        <v>2</v>
      </c>
    </row>
    <row r="6" spans="1:3" ht="27" customHeight="1">
      <c r="A6" s="41" t="s">
        <v>264</v>
      </c>
      <c r="B6" s="42" t="s">
        <v>369</v>
      </c>
      <c r="C6" s="37">
        <v>2</v>
      </c>
    </row>
    <row r="7" spans="1:3" ht="27" customHeight="1">
      <c r="A7" s="41" t="s">
        <v>265</v>
      </c>
      <c r="B7" s="42" t="s">
        <v>381</v>
      </c>
      <c r="C7" s="37">
        <v>2</v>
      </c>
    </row>
    <row r="8" spans="1:3" ht="27" customHeight="1">
      <c r="A8" s="41" t="s">
        <v>266</v>
      </c>
      <c r="B8" s="42" t="s">
        <v>381</v>
      </c>
      <c r="C8" s="37">
        <v>2</v>
      </c>
    </row>
    <row r="9" spans="1:3" ht="27" customHeight="1">
      <c r="A9" s="41" t="s">
        <v>267</v>
      </c>
      <c r="B9" s="42" t="s">
        <v>392</v>
      </c>
      <c r="C9" s="37">
        <v>2</v>
      </c>
    </row>
    <row r="10" spans="1:3" ht="27" customHeight="1">
      <c r="A10" s="41" t="s">
        <v>268</v>
      </c>
      <c r="B10" s="42" t="s">
        <v>392</v>
      </c>
      <c r="C10" s="37">
        <v>2</v>
      </c>
    </row>
    <row r="11" spans="1:3" ht="27" customHeight="1">
      <c r="A11" s="41" t="s">
        <v>269</v>
      </c>
      <c r="B11" s="42" t="s">
        <v>404</v>
      </c>
      <c r="C11" s="37">
        <v>2</v>
      </c>
    </row>
    <row r="12" spans="1:3" ht="27" customHeight="1">
      <c r="A12" s="41" t="s">
        <v>270</v>
      </c>
      <c r="B12" s="42" t="s">
        <v>404</v>
      </c>
      <c r="C12" s="37">
        <v>2</v>
      </c>
    </row>
    <row r="13" spans="1:3" ht="27" customHeight="1">
      <c r="A13" s="41" t="s">
        <v>271</v>
      </c>
      <c r="B13" s="42" t="s">
        <v>418</v>
      </c>
      <c r="C13" s="37">
        <v>2</v>
      </c>
    </row>
    <row r="14" spans="1:3" ht="27" customHeight="1">
      <c r="A14" s="41" t="s">
        <v>272</v>
      </c>
      <c r="B14" s="42" t="s">
        <v>424</v>
      </c>
      <c r="C14" s="37">
        <v>2</v>
      </c>
    </row>
    <row r="15" spans="1:3" ht="27" customHeight="1">
      <c r="A15" s="41" t="s">
        <v>274</v>
      </c>
      <c r="B15" s="42" t="s">
        <v>424</v>
      </c>
      <c r="C15" s="37">
        <v>2</v>
      </c>
    </row>
    <row r="16" spans="1:3" ht="27" customHeight="1">
      <c r="A16" s="41" t="s">
        <v>276</v>
      </c>
      <c r="B16" s="42" t="s">
        <v>434</v>
      </c>
      <c r="C16" s="37">
        <v>2</v>
      </c>
    </row>
    <row r="17" spans="1:3" ht="27" customHeight="1">
      <c r="A17" s="41" t="s">
        <v>277</v>
      </c>
      <c r="B17" s="42" t="s">
        <v>434</v>
      </c>
      <c r="C17" s="37">
        <v>2</v>
      </c>
    </row>
    <row r="18" spans="1:3" ht="27" customHeight="1">
      <c r="A18" s="41" t="s">
        <v>279</v>
      </c>
      <c r="B18" s="42" t="s">
        <v>434</v>
      </c>
      <c r="C18" s="37">
        <v>2</v>
      </c>
    </row>
    <row r="19" spans="1:3" ht="27" customHeight="1">
      <c r="A19" s="41" t="s">
        <v>303</v>
      </c>
      <c r="B19" s="42" t="s">
        <v>453</v>
      </c>
      <c r="C19" s="37">
        <v>2</v>
      </c>
    </row>
    <row r="20" spans="1:3" ht="27" customHeight="1">
      <c r="A20" s="41" t="s">
        <v>318</v>
      </c>
      <c r="B20" s="42" t="s">
        <v>453</v>
      </c>
      <c r="C20" s="37">
        <v>2</v>
      </c>
    </row>
    <row r="21" spans="1:3" ht="27" customHeight="1">
      <c r="A21" s="41" t="s">
        <v>327</v>
      </c>
      <c r="B21" s="42" t="s">
        <v>453</v>
      </c>
      <c r="C21" s="37">
        <v>2</v>
      </c>
    </row>
    <row r="22" spans="1:3" ht="27" customHeight="1">
      <c r="A22" s="41" t="s">
        <v>287</v>
      </c>
      <c r="B22" s="42" t="s">
        <v>479</v>
      </c>
      <c r="C22" s="37">
        <v>2</v>
      </c>
    </row>
    <row r="23" spans="1:3" ht="27" customHeight="1">
      <c r="A23" s="41" t="s">
        <v>329</v>
      </c>
      <c r="B23" s="42" t="s">
        <v>463</v>
      </c>
      <c r="C23" s="37">
        <v>2</v>
      </c>
    </row>
    <row r="24" spans="1:3" ht="27" customHeight="1">
      <c r="A24" s="41" t="s">
        <v>330</v>
      </c>
      <c r="B24" s="42" t="s">
        <v>489</v>
      </c>
      <c r="C24" s="37">
        <v>2</v>
      </c>
    </row>
    <row r="25" spans="1:3" ht="27" customHeight="1">
      <c r="A25" s="41" t="s">
        <v>332</v>
      </c>
      <c r="B25" s="42" t="s">
        <v>489</v>
      </c>
      <c r="C25" s="37">
        <v>2</v>
      </c>
    </row>
    <row r="26" spans="1:3" ht="27" customHeight="1">
      <c r="A26" s="41" t="s">
        <v>337</v>
      </c>
      <c r="B26" s="42" t="s">
        <v>500</v>
      </c>
      <c r="C26" s="37">
        <v>2</v>
      </c>
    </row>
    <row r="27" spans="1:3" ht="27" customHeight="1">
      <c r="A27" s="41" t="s">
        <v>338</v>
      </c>
      <c r="B27" s="42" t="s">
        <v>500</v>
      </c>
      <c r="C27" s="37">
        <v>2</v>
      </c>
    </row>
    <row r="28" spans="1:3" ht="27" customHeight="1">
      <c r="A28" s="41" t="s">
        <v>339</v>
      </c>
      <c r="B28" s="42" t="s">
        <v>489</v>
      </c>
      <c r="C28" s="37">
        <v>2</v>
      </c>
    </row>
    <row r="29" spans="1:3" ht="27" customHeight="1">
      <c r="A29" s="41" t="s">
        <v>652</v>
      </c>
      <c r="B29" s="42" t="s">
        <v>500</v>
      </c>
      <c r="C29" s="37">
        <v>2</v>
      </c>
    </row>
    <row r="30" spans="1:3" ht="27" customHeight="1">
      <c r="A30" s="41" t="s">
        <v>653</v>
      </c>
      <c r="B30" s="42" t="s">
        <v>522</v>
      </c>
      <c r="C30" s="37">
        <v>2</v>
      </c>
    </row>
    <row r="31" spans="1:3" ht="27" customHeight="1">
      <c r="A31" s="41" t="s">
        <v>654</v>
      </c>
      <c r="B31" s="42" t="s">
        <v>522</v>
      </c>
      <c r="C31" s="37">
        <v>2</v>
      </c>
    </row>
    <row r="32" spans="1:3" ht="27" customHeight="1">
      <c r="A32" s="41" t="s">
        <v>655</v>
      </c>
      <c r="B32" s="42" t="s">
        <v>489</v>
      </c>
      <c r="C32" s="37">
        <v>2</v>
      </c>
    </row>
    <row r="33" spans="1:3" ht="27" customHeight="1">
      <c r="A33" s="41" t="s">
        <v>656</v>
      </c>
      <c r="B33" s="42" t="s">
        <v>549</v>
      </c>
      <c r="C33" s="37">
        <v>2</v>
      </c>
    </row>
    <row r="34" spans="1:3" ht="27" customHeight="1">
      <c r="A34" s="41" t="s">
        <v>657</v>
      </c>
      <c r="B34" s="42" t="s">
        <v>561</v>
      </c>
      <c r="C34" s="37">
        <v>2</v>
      </c>
    </row>
    <row r="35" spans="1:3" ht="27" customHeight="1">
      <c r="A35" s="41" t="s">
        <v>659</v>
      </c>
      <c r="B35" s="42" t="s">
        <v>568</v>
      </c>
      <c r="C35" s="37">
        <v>2</v>
      </c>
    </row>
    <row r="36" spans="1:3" ht="27" customHeight="1">
      <c r="A36" s="41" t="s">
        <v>660</v>
      </c>
      <c r="B36" s="42" t="s">
        <v>597</v>
      </c>
      <c r="C36" s="37">
        <v>2</v>
      </c>
    </row>
    <row r="37" spans="1:3" ht="27" customHeight="1">
      <c r="A37" s="41" t="s">
        <v>661</v>
      </c>
      <c r="B37" s="42" t="s">
        <v>597</v>
      </c>
      <c r="C37" s="37">
        <v>2</v>
      </c>
    </row>
    <row r="38" spans="1:3" ht="27" customHeight="1">
      <c r="A38" s="41" t="s">
        <v>662</v>
      </c>
      <c r="B38" s="42" t="s">
        <v>597</v>
      </c>
      <c r="C38" s="37">
        <v>2</v>
      </c>
    </row>
    <row r="39" spans="1:3" ht="27" customHeight="1">
      <c r="A39" s="41" t="s">
        <v>664</v>
      </c>
      <c r="B39" s="42" t="s">
        <v>623</v>
      </c>
      <c r="C39" s="37">
        <v>2</v>
      </c>
    </row>
    <row r="40" spans="1:3" ht="27" customHeight="1">
      <c r="A40" s="41" t="s">
        <v>665</v>
      </c>
      <c r="B40" s="42" t="s">
        <v>623</v>
      </c>
      <c r="C40" s="37">
        <v>2</v>
      </c>
    </row>
    <row r="41" spans="1:3" ht="27" customHeight="1">
      <c r="A41" s="41" t="s">
        <v>666</v>
      </c>
      <c r="B41" s="42" t="s">
        <v>707</v>
      </c>
      <c r="C41" s="37">
        <v>2</v>
      </c>
    </row>
    <row r="42" spans="1:3" ht="27" customHeight="1">
      <c r="A42" s="41" t="s">
        <v>667</v>
      </c>
      <c r="B42" s="42" t="s">
        <v>708</v>
      </c>
      <c r="C42" s="37">
        <v>4</v>
      </c>
    </row>
    <row r="43" spans="1:3" ht="27" customHeight="1">
      <c r="A43" s="41" t="s">
        <v>668</v>
      </c>
      <c r="B43" s="42" t="s">
        <v>708</v>
      </c>
      <c r="C43" s="37">
        <v>9</v>
      </c>
    </row>
    <row r="44" spans="1:3" ht="27" customHeight="1">
      <c r="A44" s="41" t="s">
        <v>670</v>
      </c>
      <c r="B44" s="42" t="s">
        <v>369</v>
      </c>
      <c r="C44" s="37">
        <v>7</v>
      </c>
    </row>
    <row r="45" spans="1:3" ht="27" customHeight="1">
      <c r="A45" s="41" t="s">
        <v>671</v>
      </c>
      <c r="B45" s="42" t="s">
        <v>354</v>
      </c>
      <c r="C45" s="37">
        <v>3</v>
      </c>
    </row>
    <row r="46" spans="1:3" ht="27" customHeight="1">
      <c r="A46" s="41" t="s">
        <v>674</v>
      </c>
      <c r="B46" s="42" t="s">
        <v>424</v>
      </c>
      <c r="C46" s="37">
        <v>4</v>
      </c>
    </row>
    <row r="47" spans="1:3" ht="27" customHeight="1">
      <c r="A47" s="41" t="s">
        <v>675</v>
      </c>
      <c r="B47" s="42" t="s">
        <v>463</v>
      </c>
      <c r="C47" s="37">
        <v>2</v>
      </c>
    </row>
    <row r="48" spans="1:3" ht="27" customHeight="1">
      <c r="A48" s="41" t="s">
        <v>676</v>
      </c>
      <c r="B48" s="42" t="s">
        <v>463</v>
      </c>
      <c r="C48" s="37">
        <v>3</v>
      </c>
    </row>
    <row r="49" spans="1:3" ht="27" customHeight="1">
      <c r="A49" s="41" t="s">
        <v>677</v>
      </c>
      <c r="B49" s="42" t="s">
        <v>463</v>
      </c>
      <c r="C49" s="37">
        <v>4</v>
      </c>
    </row>
    <row r="50" spans="1:3" ht="27" customHeight="1">
      <c r="A50" s="41" t="s">
        <v>694</v>
      </c>
      <c r="B50" s="42" t="s">
        <v>463</v>
      </c>
      <c r="C50" s="37">
        <v>2</v>
      </c>
    </row>
    <row r="51" spans="1:3" ht="27" customHeight="1">
      <c r="A51" s="41" t="s">
        <v>678</v>
      </c>
      <c r="B51" s="42" t="s">
        <v>434</v>
      </c>
      <c r="C51" s="37">
        <v>3</v>
      </c>
    </row>
    <row r="52" spans="1:3" ht="27" customHeight="1">
      <c r="A52" s="41" t="s">
        <v>679</v>
      </c>
      <c r="B52" s="42" t="s">
        <v>434</v>
      </c>
      <c r="C52" s="37">
        <v>2</v>
      </c>
    </row>
    <row r="53" spans="1:3" ht="27" customHeight="1">
      <c r="A53" s="41" t="s">
        <v>696</v>
      </c>
      <c r="B53" s="42" t="s">
        <v>479</v>
      </c>
      <c r="C53" s="37">
        <v>3</v>
      </c>
    </row>
    <row r="54" spans="1:3" ht="27" customHeight="1">
      <c r="A54" s="41" t="s">
        <v>697</v>
      </c>
      <c r="B54" s="42" t="s">
        <v>534</v>
      </c>
      <c r="C54" s="37">
        <v>2</v>
      </c>
    </row>
    <row r="55" spans="1:3" ht="27" customHeight="1">
      <c r="A55" s="41" t="s">
        <v>698</v>
      </c>
      <c r="B55" s="42" t="s">
        <v>534</v>
      </c>
      <c r="C55" s="37">
        <v>1</v>
      </c>
    </row>
    <row r="56" spans="1:3" ht="27" customHeight="1">
      <c r="A56" s="41" t="s">
        <v>709</v>
      </c>
      <c r="B56" s="42" t="s">
        <v>534</v>
      </c>
      <c r="C56" s="37">
        <v>2</v>
      </c>
    </row>
    <row r="57" spans="1:3" ht="27" customHeight="1">
      <c r="A57" s="41" t="s">
        <v>710</v>
      </c>
      <c r="B57" s="42" t="s">
        <v>534</v>
      </c>
      <c r="C57" s="37">
        <v>2</v>
      </c>
    </row>
    <row r="58" spans="1:3" ht="27" customHeight="1">
      <c r="A58" s="41" t="s">
        <v>711</v>
      </c>
      <c r="B58" s="42" t="s">
        <v>500</v>
      </c>
      <c r="C58" s="37">
        <v>8</v>
      </c>
    </row>
    <row r="59" spans="1:3" ht="27" customHeight="1">
      <c r="A59" s="41" t="s">
        <v>687</v>
      </c>
      <c r="B59" s="42" t="s">
        <v>712</v>
      </c>
      <c r="C59" s="37">
        <v>2</v>
      </c>
    </row>
    <row r="60" spans="1:3" ht="27" customHeight="1">
      <c r="A60" s="41" t="s">
        <v>688</v>
      </c>
      <c r="B60" s="42" t="s">
        <v>578</v>
      </c>
      <c r="C60" s="37">
        <v>2</v>
      </c>
    </row>
    <row r="61" spans="1:3" ht="27" customHeight="1">
      <c r="A61" s="41" t="s">
        <v>689</v>
      </c>
      <c r="B61" s="42" t="s">
        <v>713</v>
      </c>
      <c r="C61" s="37">
        <v>3</v>
      </c>
    </row>
    <row r="62" spans="1:3" ht="27" customHeight="1">
      <c r="A62" s="41" t="s">
        <v>699</v>
      </c>
      <c r="B62" s="42" t="s">
        <v>578</v>
      </c>
      <c r="C62" s="37">
        <v>2</v>
      </c>
    </row>
    <row r="63" spans="1:3" ht="27" customHeight="1">
      <c r="A63" s="39"/>
      <c r="B63" s="39"/>
      <c r="C63" s="37"/>
    </row>
    <row r="64" spans="1:3" ht="27" customHeight="1">
      <c r="A64" s="61" t="s">
        <v>294</v>
      </c>
      <c r="B64" s="61"/>
      <c r="C64" s="43">
        <f>SUM(C42:C62)</f>
        <v>70</v>
      </c>
    </row>
    <row r="65" spans="1:3" ht="27" customHeight="1">
      <c r="A65" s="62" t="s">
        <v>295</v>
      </c>
      <c r="B65" s="62"/>
      <c r="C65" s="44">
        <f>SUM(C2:C62)</f>
        <v>150</v>
      </c>
    </row>
    <row r="66" spans="1:3" ht="27" customHeight="1">
      <c r="A66" s="39"/>
      <c r="B66" s="39"/>
      <c r="C66" s="39"/>
    </row>
    <row r="67" spans="1:3" ht="27" customHeight="1">
      <c r="A67" s="59" t="s">
        <v>714</v>
      </c>
      <c r="B67" s="59"/>
      <c r="C67" s="59"/>
    </row>
    <row r="68" spans="1:3" ht="27" customHeight="1">
      <c r="A68" s="59"/>
      <c r="B68" s="59"/>
      <c r="C68" s="59"/>
    </row>
    <row r="69" spans="1:3" ht="27" customHeight="1">
      <c r="A69" s="59"/>
      <c r="B69" s="59"/>
      <c r="C69" s="59"/>
    </row>
    <row r="70" spans="1:3" ht="27" customHeight="1">
      <c r="A70" s="59"/>
      <c r="B70" s="59"/>
      <c r="C70" s="59"/>
    </row>
    <row r="71" spans="1:3" ht="27" customHeight="1"/>
    <row r="72" spans="1:3" ht="27" customHeight="1"/>
    <row r="73" spans="1:3" ht="27" customHeight="1"/>
    <row r="74" spans="1:3" ht="27" customHeight="1"/>
    <row r="75" spans="1:3" ht="27" customHeight="1"/>
    <row r="76" spans="1:3" ht="27" customHeight="1"/>
    <row r="77" spans="1:3" ht="27" customHeight="1"/>
    <row r="78" spans="1:3" ht="27" customHeight="1"/>
    <row r="79" spans="1:3" ht="27" customHeight="1"/>
    <row r="80" spans="1:3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</sheetData>
  <mergeCells count="3">
    <mergeCell ref="A64:B64"/>
    <mergeCell ref="A65:B65"/>
    <mergeCell ref="A67:C70"/>
  </mergeCells>
  <phoneticPr fontId="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330B9-2539-450D-B5DC-B19F118A3A65}">
  <dimension ref="A1:C88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4" customWidth="1"/>
    <col min="2" max="2" width="62" customWidth="1"/>
    <col min="3" max="3" width="12" customWidth="1"/>
  </cols>
  <sheetData>
    <row r="1" spans="1:3" ht="30" customHeight="1">
      <c r="A1" s="40" t="s">
        <v>257</v>
      </c>
      <c r="B1" s="40" t="s">
        <v>258</v>
      </c>
      <c r="C1" s="40" t="s">
        <v>259</v>
      </c>
    </row>
    <row r="2" spans="1:3" ht="27" customHeight="1">
      <c r="A2" s="41" t="s">
        <v>260</v>
      </c>
      <c r="B2" s="42" t="s">
        <v>357</v>
      </c>
      <c r="C2" s="37">
        <v>2</v>
      </c>
    </row>
    <row r="3" spans="1:3" ht="27" customHeight="1">
      <c r="A3" s="41" t="s">
        <v>261</v>
      </c>
      <c r="B3" s="42" t="s">
        <v>362</v>
      </c>
      <c r="C3" s="37">
        <v>2</v>
      </c>
    </row>
    <row r="4" spans="1:3" ht="27" customHeight="1">
      <c r="A4" s="41" t="s">
        <v>262</v>
      </c>
      <c r="B4" s="42" t="s">
        <v>362</v>
      </c>
      <c r="C4" s="37">
        <v>2</v>
      </c>
    </row>
    <row r="5" spans="1:3" ht="27" customHeight="1">
      <c r="A5" s="41" t="s">
        <v>263</v>
      </c>
      <c r="B5" s="42" t="s">
        <v>369</v>
      </c>
      <c r="C5" s="37">
        <v>2</v>
      </c>
    </row>
    <row r="6" spans="1:3" ht="27" customHeight="1">
      <c r="A6" s="41" t="s">
        <v>264</v>
      </c>
      <c r="B6" s="42" t="s">
        <v>369</v>
      </c>
      <c r="C6" s="37">
        <v>2</v>
      </c>
    </row>
    <row r="7" spans="1:3" ht="27" customHeight="1">
      <c r="A7" s="41" t="s">
        <v>265</v>
      </c>
      <c r="B7" s="42" t="s">
        <v>392</v>
      </c>
      <c r="C7" s="37">
        <v>2</v>
      </c>
    </row>
    <row r="8" spans="1:3" ht="27" customHeight="1">
      <c r="A8" s="41" t="s">
        <v>266</v>
      </c>
      <c r="B8" s="42" t="s">
        <v>381</v>
      </c>
      <c r="C8" s="37">
        <v>2</v>
      </c>
    </row>
    <row r="9" spans="1:3" ht="27" customHeight="1">
      <c r="A9" s="41" t="s">
        <v>267</v>
      </c>
      <c r="B9" s="42" t="s">
        <v>381</v>
      </c>
      <c r="C9" s="37">
        <v>2</v>
      </c>
    </row>
    <row r="10" spans="1:3" ht="27" customHeight="1">
      <c r="A10" s="41" t="s">
        <v>268</v>
      </c>
      <c r="B10" s="42" t="s">
        <v>392</v>
      </c>
      <c r="C10" s="37">
        <v>2</v>
      </c>
    </row>
    <row r="11" spans="1:3" ht="27" customHeight="1">
      <c r="A11" s="41" t="s">
        <v>269</v>
      </c>
      <c r="B11" s="42" t="s">
        <v>404</v>
      </c>
      <c r="C11" s="37">
        <v>2</v>
      </c>
    </row>
    <row r="12" spans="1:3" ht="27" customHeight="1">
      <c r="A12" s="41" t="s">
        <v>270</v>
      </c>
      <c r="B12" s="42" t="s">
        <v>369</v>
      </c>
      <c r="C12" s="37">
        <v>2</v>
      </c>
    </row>
    <row r="13" spans="1:3" ht="27" customHeight="1">
      <c r="A13" s="41" t="s">
        <v>271</v>
      </c>
      <c r="B13" s="42" t="s">
        <v>418</v>
      </c>
      <c r="C13" s="37">
        <v>2</v>
      </c>
    </row>
    <row r="14" spans="1:3" ht="27" customHeight="1">
      <c r="A14" s="41" t="s">
        <v>272</v>
      </c>
      <c r="B14" s="42" t="s">
        <v>424</v>
      </c>
      <c r="C14" s="37">
        <v>2</v>
      </c>
    </row>
    <row r="15" spans="1:3" ht="27" customHeight="1">
      <c r="A15" s="41" t="s">
        <v>274</v>
      </c>
      <c r="B15" s="42" t="s">
        <v>424</v>
      </c>
      <c r="C15" s="37">
        <v>2</v>
      </c>
    </row>
    <row r="16" spans="1:3" ht="27" customHeight="1">
      <c r="A16" s="41" t="s">
        <v>276</v>
      </c>
      <c r="B16" s="42" t="s">
        <v>434</v>
      </c>
      <c r="C16" s="37">
        <v>2</v>
      </c>
    </row>
    <row r="17" spans="1:3" ht="27" customHeight="1">
      <c r="A17" s="41" t="s">
        <v>277</v>
      </c>
      <c r="B17" s="42" t="s">
        <v>434</v>
      </c>
      <c r="C17" s="37">
        <v>2</v>
      </c>
    </row>
    <row r="18" spans="1:3" ht="27" customHeight="1">
      <c r="A18" s="41" t="s">
        <v>279</v>
      </c>
      <c r="B18" s="42" t="s">
        <v>463</v>
      </c>
      <c r="C18" s="37">
        <v>2</v>
      </c>
    </row>
    <row r="19" spans="1:3" ht="27" customHeight="1">
      <c r="A19" s="41" t="s">
        <v>303</v>
      </c>
      <c r="B19" s="42" t="s">
        <v>463</v>
      </c>
      <c r="C19" s="37">
        <v>2</v>
      </c>
    </row>
    <row r="20" spans="1:3" ht="27" customHeight="1">
      <c r="A20" s="41" t="s">
        <v>318</v>
      </c>
      <c r="B20" s="42" t="s">
        <v>479</v>
      </c>
      <c r="C20" s="37">
        <v>2</v>
      </c>
    </row>
    <row r="21" spans="1:3" ht="27" customHeight="1">
      <c r="A21" s="41" t="s">
        <v>327</v>
      </c>
      <c r="B21" s="42" t="s">
        <v>479</v>
      </c>
      <c r="C21" s="37">
        <v>2</v>
      </c>
    </row>
    <row r="22" spans="1:3" ht="27" customHeight="1">
      <c r="A22" s="41" t="s">
        <v>287</v>
      </c>
      <c r="B22" s="42" t="s">
        <v>463</v>
      </c>
      <c r="C22" s="37">
        <v>2</v>
      </c>
    </row>
    <row r="23" spans="1:3" ht="27" customHeight="1">
      <c r="A23" s="41" t="s">
        <v>329</v>
      </c>
      <c r="B23" s="42" t="s">
        <v>479</v>
      </c>
      <c r="C23" s="37">
        <v>2</v>
      </c>
    </row>
    <row r="24" spans="1:3" ht="27" customHeight="1">
      <c r="A24" s="41" t="s">
        <v>330</v>
      </c>
      <c r="B24" s="42" t="s">
        <v>489</v>
      </c>
      <c r="C24" s="37">
        <v>2</v>
      </c>
    </row>
    <row r="25" spans="1:3" ht="27" customHeight="1">
      <c r="A25" s="41" t="s">
        <v>332</v>
      </c>
      <c r="B25" s="42" t="s">
        <v>500</v>
      </c>
      <c r="C25" s="37">
        <v>2</v>
      </c>
    </row>
    <row r="26" spans="1:3" ht="27" customHeight="1">
      <c r="A26" s="41" t="s">
        <v>337</v>
      </c>
      <c r="B26" s="42" t="s">
        <v>500</v>
      </c>
      <c r="C26" s="37">
        <v>2</v>
      </c>
    </row>
    <row r="27" spans="1:3" ht="27" customHeight="1">
      <c r="A27" s="41" t="s">
        <v>338</v>
      </c>
      <c r="B27" s="42" t="s">
        <v>549</v>
      </c>
      <c r="C27" s="37">
        <v>2</v>
      </c>
    </row>
    <row r="28" spans="1:3" ht="27" customHeight="1">
      <c r="A28" s="41" t="s">
        <v>339</v>
      </c>
      <c r="B28" s="42" t="s">
        <v>500</v>
      </c>
      <c r="C28" s="37">
        <v>2</v>
      </c>
    </row>
    <row r="29" spans="1:3" ht="27" customHeight="1">
      <c r="A29" s="41" t="s">
        <v>652</v>
      </c>
      <c r="B29" s="42" t="s">
        <v>522</v>
      </c>
      <c r="C29" s="37">
        <v>2</v>
      </c>
    </row>
    <row r="30" spans="1:3" ht="27" customHeight="1">
      <c r="A30" s="41" t="s">
        <v>653</v>
      </c>
      <c r="B30" s="42" t="s">
        <v>522</v>
      </c>
      <c r="C30" s="37">
        <v>2</v>
      </c>
    </row>
    <row r="31" spans="1:3" ht="27" customHeight="1">
      <c r="A31" s="41" t="s">
        <v>654</v>
      </c>
      <c r="B31" s="42" t="s">
        <v>534</v>
      </c>
      <c r="C31" s="37">
        <v>2</v>
      </c>
    </row>
    <row r="32" spans="1:3" ht="27" customHeight="1">
      <c r="A32" s="41" t="s">
        <v>655</v>
      </c>
      <c r="B32" s="42" t="s">
        <v>500</v>
      </c>
      <c r="C32" s="37">
        <v>2</v>
      </c>
    </row>
    <row r="33" spans="1:3" ht="27" customHeight="1">
      <c r="A33" s="41" t="s">
        <v>656</v>
      </c>
      <c r="B33" s="42" t="s">
        <v>489</v>
      </c>
      <c r="C33" s="37">
        <v>2</v>
      </c>
    </row>
    <row r="34" spans="1:3" ht="27" customHeight="1">
      <c r="A34" s="41" t="s">
        <v>657</v>
      </c>
      <c r="B34" s="42" t="s">
        <v>561</v>
      </c>
      <c r="C34" s="37">
        <v>2</v>
      </c>
    </row>
    <row r="35" spans="1:3" ht="27" customHeight="1">
      <c r="A35" s="41" t="s">
        <v>659</v>
      </c>
      <c r="B35" s="42" t="s">
        <v>568</v>
      </c>
      <c r="C35" s="37">
        <v>2</v>
      </c>
    </row>
    <row r="36" spans="1:3" ht="27" customHeight="1">
      <c r="A36" s="41" t="s">
        <v>660</v>
      </c>
      <c r="B36" s="42" t="s">
        <v>597</v>
      </c>
      <c r="C36" s="37">
        <v>2</v>
      </c>
    </row>
    <row r="37" spans="1:3" ht="27" customHeight="1">
      <c r="A37" s="41" t="s">
        <v>661</v>
      </c>
      <c r="B37" s="42" t="s">
        <v>597</v>
      </c>
      <c r="C37" s="37">
        <v>2</v>
      </c>
    </row>
    <row r="38" spans="1:3" ht="27" customHeight="1">
      <c r="A38" s="41" t="s">
        <v>662</v>
      </c>
      <c r="B38" s="42" t="s">
        <v>597</v>
      </c>
      <c r="C38" s="37">
        <v>2</v>
      </c>
    </row>
    <row r="39" spans="1:3" ht="27" customHeight="1">
      <c r="A39" s="41" t="s">
        <v>664</v>
      </c>
      <c r="B39" s="42" t="s">
        <v>623</v>
      </c>
      <c r="C39" s="37">
        <v>2</v>
      </c>
    </row>
    <row r="40" spans="1:3" ht="27" customHeight="1">
      <c r="A40" s="41" t="s">
        <v>665</v>
      </c>
      <c r="B40" s="42" t="s">
        <v>623</v>
      </c>
      <c r="C40" s="37">
        <v>2</v>
      </c>
    </row>
    <row r="41" spans="1:3" ht="27" customHeight="1">
      <c r="A41" s="41" t="s">
        <v>666</v>
      </c>
      <c r="B41" s="42" t="s">
        <v>623</v>
      </c>
      <c r="C41" s="37">
        <v>2</v>
      </c>
    </row>
    <row r="42" spans="1:3" ht="27" customHeight="1">
      <c r="A42" s="41" t="s">
        <v>667</v>
      </c>
      <c r="B42" s="42" t="s">
        <v>381</v>
      </c>
      <c r="C42" s="37">
        <v>4</v>
      </c>
    </row>
    <row r="43" spans="1:3" ht="27" customHeight="1">
      <c r="A43" s="41" t="s">
        <v>668</v>
      </c>
      <c r="B43" s="42" t="s">
        <v>381</v>
      </c>
      <c r="C43" s="37">
        <v>9</v>
      </c>
    </row>
    <row r="44" spans="1:3" ht="27" customHeight="1">
      <c r="A44" s="41" t="s">
        <v>669</v>
      </c>
      <c r="B44" s="42" t="s">
        <v>354</v>
      </c>
      <c r="C44" s="37">
        <v>2</v>
      </c>
    </row>
    <row r="45" spans="1:3" ht="27" customHeight="1">
      <c r="A45" s="41" t="s">
        <v>670</v>
      </c>
      <c r="B45" s="42" t="s">
        <v>404</v>
      </c>
      <c r="C45" s="37">
        <v>2</v>
      </c>
    </row>
    <row r="46" spans="1:3" ht="27" customHeight="1">
      <c r="A46" s="41" t="s">
        <v>671</v>
      </c>
      <c r="B46" s="42" t="s">
        <v>404</v>
      </c>
      <c r="C46" s="37">
        <v>2</v>
      </c>
    </row>
    <row r="47" spans="1:3" ht="27" customHeight="1">
      <c r="A47" s="41" t="s">
        <v>672</v>
      </c>
      <c r="B47" s="42" t="s">
        <v>404</v>
      </c>
      <c r="C47" s="37">
        <v>4</v>
      </c>
    </row>
    <row r="48" spans="1:3" ht="27" customHeight="1">
      <c r="A48" s="41" t="s">
        <v>674</v>
      </c>
      <c r="B48" s="42" t="s">
        <v>715</v>
      </c>
      <c r="C48" s="37">
        <v>5</v>
      </c>
    </row>
    <row r="49" spans="1:3" ht="27" customHeight="1">
      <c r="A49" s="41" t="s">
        <v>675</v>
      </c>
      <c r="B49" s="42" t="s">
        <v>453</v>
      </c>
      <c r="C49" s="37">
        <v>3</v>
      </c>
    </row>
    <row r="50" spans="1:3" ht="27" customHeight="1">
      <c r="A50" s="41" t="s">
        <v>676</v>
      </c>
      <c r="B50" s="42" t="s">
        <v>716</v>
      </c>
      <c r="C50" s="37">
        <v>4</v>
      </c>
    </row>
    <row r="51" spans="1:3" ht="27" customHeight="1">
      <c r="A51" s="41" t="s">
        <v>677</v>
      </c>
      <c r="B51" s="42" t="s">
        <v>453</v>
      </c>
      <c r="C51" s="37">
        <v>1</v>
      </c>
    </row>
    <row r="52" spans="1:3" ht="27" customHeight="1">
      <c r="A52" s="41" t="s">
        <v>694</v>
      </c>
      <c r="B52" s="42" t="s">
        <v>453</v>
      </c>
      <c r="C52" s="37">
        <v>2</v>
      </c>
    </row>
    <row r="53" spans="1:3" ht="27" customHeight="1">
      <c r="A53" s="41" t="s">
        <v>678</v>
      </c>
      <c r="B53" s="42" t="s">
        <v>434</v>
      </c>
      <c r="C53" s="37">
        <v>2</v>
      </c>
    </row>
    <row r="54" spans="1:3" ht="27" customHeight="1">
      <c r="A54" s="41" t="s">
        <v>679</v>
      </c>
      <c r="B54" s="42" t="s">
        <v>434</v>
      </c>
      <c r="C54" s="37">
        <v>2</v>
      </c>
    </row>
    <row r="55" spans="1:3" ht="27" customHeight="1">
      <c r="A55" s="41" t="s">
        <v>696</v>
      </c>
      <c r="B55" s="42" t="s">
        <v>434</v>
      </c>
      <c r="C55" s="37">
        <v>3</v>
      </c>
    </row>
    <row r="56" spans="1:3" ht="27" customHeight="1">
      <c r="A56" s="41" t="s">
        <v>702</v>
      </c>
      <c r="B56" s="42" t="s">
        <v>434</v>
      </c>
      <c r="C56" s="37">
        <v>1</v>
      </c>
    </row>
    <row r="57" spans="1:3" ht="27" customHeight="1">
      <c r="A57" s="41" t="s">
        <v>697</v>
      </c>
      <c r="B57" s="42" t="s">
        <v>500</v>
      </c>
      <c r="C57" s="37">
        <v>2</v>
      </c>
    </row>
    <row r="58" spans="1:3" ht="27" customHeight="1">
      <c r="A58" s="41" t="s">
        <v>698</v>
      </c>
      <c r="B58" s="42" t="s">
        <v>500</v>
      </c>
      <c r="C58" s="37">
        <v>3</v>
      </c>
    </row>
    <row r="59" spans="1:3" ht="27" customHeight="1">
      <c r="A59" s="41" t="s">
        <v>709</v>
      </c>
      <c r="B59" s="42" t="s">
        <v>683</v>
      </c>
      <c r="C59" s="37">
        <v>2</v>
      </c>
    </row>
    <row r="60" spans="1:3" ht="27" customHeight="1">
      <c r="A60" s="41" t="s">
        <v>682</v>
      </c>
      <c r="B60" s="42" t="s">
        <v>489</v>
      </c>
      <c r="C60" s="37">
        <v>3</v>
      </c>
    </row>
    <row r="61" spans="1:3" ht="27" customHeight="1">
      <c r="A61" s="41" t="s">
        <v>684</v>
      </c>
      <c r="B61" s="42" t="s">
        <v>549</v>
      </c>
      <c r="C61" s="37">
        <v>3</v>
      </c>
    </row>
    <row r="62" spans="1:3" ht="27" customHeight="1">
      <c r="A62" s="41" t="s">
        <v>686</v>
      </c>
      <c r="B62" s="42" t="s">
        <v>717</v>
      </c>
      <c r="C62" s="37">
        <v>2</v>
      </c>
    </row>
    <row r="63" spans="1:3" ht="27" customHeight="1">
      <c r="A63" s="41" t="s">
        <v>687</v>
      </c>
      <c r="B63" s="42" t="s">
        <v>718</v>
      </c>
      <c r="C63" s="37">
        <v>3</v>
      </c>
    </row>
    <row r="64" spans="1:3" ht="27" customHeight="1">
      <c r="A64" s="41" t="s">
        <v>688</v>
      </c>
      <c r="B64" s="42" t="s">
        <v>692</v>
      </c>
      <c r="C64" s="37">
        <v>3</v>
      </c>
    </row>
    <row r="65" spans="1:3" ht="27" customHeight="1">
      <c r="A65" s="41" t="s">
        <v>689</v>
      </c>
      <c r="B65" s="42" t="s">
        <v>713</v>
      </c>
      <c r="C65" s="37">
        <v>3</v>
      </c>
    </row>
    <row r="66" spans="1:3" ht="27" customHeight="1">
      <c r="A66" s="39"/>
      <c r="B66" s="39"/>
      <c r="C66" s="37"/>
    </row>
    <row r="67" spans="1:3" ht="27" customHeight="1">
      <c r="A67" s="61" t="s">
        <v>294</v>
      </c>
      <c r="B67" s="61"/>
      <c r="C67" s="43">
        <f>SUM(C42:C65)</f>
        <v>70</v>
      </c>
    </row>
    <row r="68" spans="1:3" ht="27" customHeight="1">
      <c r="A68" s="62" t="s">
        <v>295</v>
      </c>
      <c r="B68" s="62"/>
      <c r="C68" s="44">
        <f>SUM(C2:C65)</f>
        <v>150</v>
      </c>
    </row>
    <row r="69" spans="1:3" ht="27" customHeight="1">
      <c r="A69" s="39"/>
      <c r="B69" s="39"/>
      <c r="C69" s="39"/>
    </row>
    <row r="70" spans="1:3" ht="40" customHeight="1">
      <c r="A70" s="59" t="s">
        <v>719</v>
      </c>
      <c r="B70" s="59"/>
      <c r="C70" s="59"/>
    </row>
    <row r="71" spans="1:3" ht="40" customHeight="1">
      <c r="A71" s="59"/>
      <c r="B71" s="59"/>
      <c r="C71" s="59"/>
    </row>
    <row r="72" spans="1:3" ht="40" customHeight="1">
      <c r="A72" s="59"/>
      <c r="B72" s="59"/>
      <c r="C72" s="59"/>
    </row>
    <row r="73" spans="1:3" ht="40" customHeight="1">
      <c r="A73" s="59"/>
      <c r="B73" s="59"/>
      <c r="C73" s="59"/>
    </row>
    <row r="74" spans="1:3" ht="27" customHeight="1"/>
    <row r="75" spans="1:3" ht="27" customHeight="1"/>
    <row r="76" spans="1:3" ht="27" customHeight="1"/>
    <row r="77" spans="1:3" ht="27" customHeight="1"/>
    <row r="78" spans="1:3" ht="27" customHeight="1"/>
    <row r="79" spans="1:3" ht="27" customHeight="1"/>
    <row r="80" spans="1:3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</sheetData>
  <mergeCells count="3">
    <mergeCell ref="A67:B67"/>
    <mergeCell ref="A68:B68"/>
    <mergeCell ref="A70:C73"/>
  </mergeCells>
  <phoneticPr fontId="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91FC8-C2D9-4155-B9F1-A1B575FBAD4A}">
  <dimension ref="A1:C88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4" customWidth="1"/>
    <col min="2" max="2" width="62" customWidth="1"/>
    <col min="3" max="3" width="12" customWidth="1"/>
  </cols>
  <sheetData>
    <row r="1" spans="1:3" ht="30" customHeight="1">
      <c r="A1" s="40" t="s">
        <v>257</v>
      </c>
      <c r="B1" s="40" t="s">
        <v>258</v>
      </c>
      <c r="C1" s="40" t="s">
        <v>259</v>
      </c>
    </row>
    <row r="2" spans="1:3" ht="27" customHeight="1">
      <c r="A2" s="41" t="s">
        <v>260</v>
      </c>
      <c r="B2" s="42" t="s">
        <v>362</v>
      </c>
      <c r="C2" s="37">
        <v>2</v>
      </c>
    </row>
    <row r="3" spans="1:3" ht="27" customHeight="1">
      <c r="A3" s="41" t="s">
        <v>261</v>
      </c>
      <c r="B3" s="42" t="s">
        <v>362</v>
      </c>
      <c r="C3" s="37">
        <v>2</v>
      </c>
    </row>
    <row r="4" spans="1:3" ht="27" customHeight="1">
      <c r="A4" s="41" t="s">
        <v>262</v>
      </c>
      <c r="B4" s="42" t="s">
        <v>369</v>
      </c>
      <c r="C4" s="37">
        <v>2</v>
      </c>
    </row>
    <row r="5" spans="1:3" ht="27" customHeight="1">
      <c r="A5" s="41" t="s">
        <v>263</v>
      </c>
      <c r="B5" s="42" t="s">
        <v>369</v>
      </c>
      <c r="C5" s="37">
        <v>2</v>
      </c>
    </row>
    <row r="6" spans="1:3" ht="27" customHeight="1">
      <c r="A6" s="41" t="s">
        <v>264</v>
      </c>
      <c r="B6" s="42" t="s">
        <v>392</v>
      </c>
      <c r="C6" s="37">
        <v>2</v>
      </c>
    </row>
    <row r="7" spans="1:3" ht="27" customHeight="1">
      <c r="A7" s="41" t="s">
        <v>265</v>
      </c>
      <c r="B7" s="42" t="s">
        <v>381</v>
      </c>
      <c r="C7" s="37">
        <v>2</v>
      </c>
    </row>
    <row r="8" spans="1:3" ht="27" customHeight="1">
      <c r="A8" s="41" t="s">
        <v>266</v>
      </c>
      <c r="B8" s="42" t="s">
        <v>381</v>
      </c>
      <c r="C8" s="37">
        <v>2</v>
      </c>
    </row>
    <row r="9" spans="1:3" ht="27" customHeight="1">
      <c r="A9" s="41" t="s">
        <v>267</v>
      </c>
      <c r="B9" s="42" t="s">
        <v>381</v>
      </c>
      <c r="C9" s="37">
        <v>2</v>
      </c>
    </row>
    <row r="10" spans="1:3" ht="27" customHeight="1">
      <c r="A10" s="41" t="s">
        <v>268</v>
      </c>
      <c r="B10" s="42" t="s">
        <v>369</v>
      </c>
      <c r="C10" s="37">
        <v>2</v>
      </c>
    </row>
    <row r="11" spans="1:3" ht="27" customHeight="1">
      <c r="A11" s="41" t="s">
        <v>269</v>
      </c>
      <c r="B11" s="42" t="s">
        <v>392</v>
      </c>
      <c r="C11" s="37">
        <v>2</v>
      </c>
    </row>
    <row r="12" spans="1:3" ht="27" customHeight="1">
      <c r="A12" s="41" t="s">
        <v>270</v>
      </c>
      <c r="B12" s="42" t="s">
        <v>404</v>
      </c>
      <c r="C12" s="37">
        <v>2</v>
      </c>
    </row>
    <row r="13" spans="1:3" ht="27" customHeight="1">
      <c r="A13" s="41" t="s">
        <v>271</v>
      </c>
      <c r="B13" s="42" t="s">
        <v>463</v>
      </c>
      <c r="C13" s="37">
        <v>2</v>
      </c>
    </row>
    <row r="14" spans="1:3" ht="27" customHeight="1">
      <c r="A14" s="41" t="s">
        <v>272</v>
      </c>
      <c r="B14" s="42" t="s">
        <v>424</v>
      </c>
      <c r="C14" s="37">
        <v>2</v>
      </c>
    </row>
    <row r="15" spans="1:3" ht="27" customHeight="1">
      <c r="A15" s="41" t="s">
        <v>274</v>
      </c>
      <c r="B15" s="42" t="s">
        <v>453</v>
      </c>
      <c r="C15" s="37">
        <v>2</v>
      </c>
    </row>
    <row r="16" spans="1:3" ht="27" customHeight="1">
      <c r="A16" s="41" t="s">
        <v>276</v>
      </c>
      <c r="B16" s="42" t="s">
        <v>434</v>
      </c>
      <c r="C16" s="37">
        <v>2</v>
      </c>
    </row>
    <row r="17" spans="1:3" ht="27" customHeight="1">
      <c r="A17" s="41" t="s">
        <v>277</v>
      </c>
      <c r="B17" s="42" t="s">
        <v>453</v>
      </c>
      <c r="C17" s="37">
        <v>2</v>
      </c>
    </row>
    <row r="18" spans="1:3" ht="27" customHeight="1">
      <c r="A18" s="41" t="s">
        <v>279</v>
      </c>
      <c r="B18" s="42" t="s">
        <v>463</v>
      </c>
      <c r="C18" s="37">
        <v>2</v>
      </c>
    </row>
    <row r="19" spans="1:3" ht="27" customHeight="1">
      <c r="A19" s="41" t="s">
        <v>303</v>
      </c>
      <c r="B19" s="42" t="s">
        <v>463</v>
      </c>
      <c r="C19" s="37">
        <v>2</v>
      </c>
    </row>
    <row r="20" spans="1:3" ht="27" customHeight="1">
      <c r="A20" s="41" t="s">
        <v>318</v>
      </c>
      <c r="B20" s="42" t="s">
        <v>479</v>
      </c>
      <c r="C20" s="37">
        <v>2</v>
      </c>
    </row>
    <row r="21" spans="1:3" ht="27" customHeight="1">
      <c r="A21" s="41" t="s">
        <v>327</v>
      </c>
      <c r="B21" s="42" t="s">
        <v>463</v>
      </c>
      <c r="C21" s="37">
        <v>2</v>
      </c>
    </row>
    <row r="22" spans="1:3" ht="27" customHeight="1">
      <c r="A22" s="41" t="s">
        <v>287</v>
      </c>
      <c r="B22" s="42" t="s">
        <v>479</v>
      </c>
      <c r="C22" s="37">
        <v>2</v>
      </c>
    </row>
    <row r="23" spans="1:3" ht="27" customHeight="1">
      <c r="A23" s="41" t="s">
        <v>329</v>
      </c>
      <c r="B23" s="42" t="s">
        <v>479</v>
      </c>
      <c r="C23" s="37">
        <v>2</v>
      </c>
    </row>
    <row r="24" spans="1:3" ht="27" customHeight="1">
      <c r="A24" s="41" t="s">
        <v>330</v>
      </c>
      <c r="B24" s="42" t="s">
        <v>534</v>
      </c>
      <c r="C24" s="37">
        <v>2</v>
      </c>
    </row>
    <row r="25" spans="1:3" ht="27" customHeight="1">
      <c r="A25" s="41" t="s">
        <v>332</v>
      </c>
      <c r="B25" s="42" t="s">
        <v>534</v>
      </c>
      <c r="C25" s="37">
        <v>2</v>
      </c>
    </row>
    <row r="26" spans="1:3" ht="27" customHeight="1">
      <c r="A26" s="41" t="s">
        <v>337</v>
      </c>
      <c r="B26" s="42" t="s">
        <v>489</v>
      </c>
      <c r="C26" s="37">
        <v>2</v>
      </c>
    </row>
    <row r="27" spans="1:3" ht="27" customHeight="1">
      <c r="A27" s="41" t="s">
        <v>338</v>
      </c>
      <c r="B27" s="42" t="s">
        <v>500</v>
      </c>
      <c r="C27" s="37">
        <v>2</v>
      </c>
    </row>
    <row r="28" spans="1:3" ht="27" customHeight="1">
      <c r="A28" s="41" t="s">
        <v>339</v>
      </c>
      <c r="B28" s="42" t="s">
        <v>500</v>
      </c>
      <c r="C28" s="37">
        <v>2</v>
      </c>
    </row>
    <row r="29" spans="1:3" ht="27" customHeight="1">
      <c r="A29" s="41" t="s">
        <v>652</v>
      </c>
      <c r="B29" s="42" t="s">
        <v>522</v>
      </c>
      <c r="C29" s="37">
        <v>2</v>
      </c>
    </row>
    <row r="30" spans="1:3" ht="27" customHeight="1">
      <c r="A30" s="41" t="s">
        <v>653</v>
      </c>
      <c r="B30" s="42" t="s">
        <v>500</v>
      </c>
      <c r="C30" s="37">
        <v>2</v>
      </c>
    </row>
    <row r="31" spans="1:3" ht="27" customHeight="1">
      <c r="A31" s="41" t="s">
        <v>654</v>
      </c>
      <c r="B31" s="42" t="s">
        <v>549</v>
      </c>
      <c r="C31" s="37">
        <v>2</v>
      </c>
    </row>
    <row r="32" spans="1:3" ht="27" customHeight="1">
      <c r="A32" s="41" t="s">
        <v>655</v>
      </c>
      <c r="B32" s="42" t="s">
        <v>534</v>
      </c>
      <c r="C32" s="37">
        <v>2</v>
      </c>
    </row>
    <row r="33" spans="1:3" ht="27" customHeight="1">
      <c r="A33" s="41" t="s">
        <v>656</v>
      </c>
      <c r="B33" s="42" t="s">
        <v>500</v>
      </c>
      <c r="C33" s="37">
        <v>2</v>
      </c>
    </row>
    <row r="34" spans="1:3" ht="27" customHeight="1">
      <c r="A34" s="41" t="s">
        <v>657</v>
      </c>
      <c r="B34" s="42" t="s">
        <v>561</v>
      </c>
      <c r="C34" s="37">
        <v>2</v>
      </c>
    </row>
    <row r="35" spans="1:3" ht="27" customHeight="1">
      <c r="A35" s="41" t="s">
        <v>659</v>
      </c>
      <c r="B35" s="42" t="s">
        <v>568</v>
      </c>
      <c r="C35" s="37">
        <v>2</v>
      </c>
    </row>
    <row r="36" spans="1:3" ht="27" customHeight="1">
      <c r="A36" s="41" t="s">
        <v>660</v>
      </c>
      <c r="B36" s="42" t="s">
        <v>712</v>
      </c>
      <c r="C36" s="37">
        <v>2</v>
      </c>
    </row>
    <row r="37" spans="1:3" ht="27" customHeight="1">
      <c r="A37" s="41" t="s">
        <v>661</v>
      </c>
      <c r="B37" s="42" t="s">
        <v>578</v>
      </c>
      <c r="C37" s="37">
        <v>2</v>
      </c>
    </row>
    <row r="38" spans="1:3" ht="27" customHeight="1">
      <c r="A38" s="41" t="s">
        <v>662</v>
      </c>
      <c r="B38" s="42" t="s">
        <v>578</v>
      </c>
      <c r="C38" s="37">
        <v>2</v>
      </c>
    </row>
    <row r="39" spans="1:3" ht="27" customHeight="1">
      <c r="A39" s="41" t="s">
        <v>664</v>
      </c>
      <c r="B39" s="42" t="s">
        <v>623</v>
      </c>
      <c r="C39" s="37">
        <v>2</v>
      </c>
    </row>
    <row r="40" spans="1:3" ht="27" customHeight="1">
      <c r="A40" s="41" t="s">
        <v>665</v>
      </c>
      <c r="B40" s="42" t="s">
        <v>623</v>
      </c>
      <c r="C40" s="37">
        <v>2</v>
      </c>
    </row>
    <row r="41" spans="1:3" ht="27" customHeight="1">
      <c r="A41" s="41" t="s">
        <v>666</v>
      </c>
      <c r="B41" s="42" t="s">
        <v>634</v>
      </c>
      <c r="C41" s="37">
        <v>2</v>
      </c>
    </row>
    <row r="42" spans="1:3" ht="27" customHeight="1">
      <c r="A42" s="41" t="s">
        <v>667</v>
      </c>
      <c r="B42" s="42" t="s">
        <v>357</v>
      </c>
      <c r="C42" s="37">
        <v>4</v>
      </c>
    </row>
    <row r="43" spans="1:3" ht="27" customHeight="1">
      <c r="A43" s="41" t="s">
        <v>668</v>
      </c>
      <c r="B43" s="42" t="s">
        <v>357</v>
      </c>
      <c r="C43" s="37">
        <v>7</v>
      </c>
    </row>
    <row r="44" spans="1:3" ht="27" customHeight="1">
      <c r="A44" s="41" t="s">
        <v>669</v>
      </c>
      <c r="B44" s="42" t="s">
        <v>354</v>
      </c>
      <c r="C44" s="37">
        <v>2</v>
      </c>
    </row>
    <row r="45" spans="1:3" ht="27" customHeight="1">
      <c r="A45" s="41" t="s">
        <v>670</v>
      </c>
      <c r="B45" s="42" t="s">
        <v>369</v>
      </c>
      <c r="C45" s="37">
        <v>2</v>
      </c>
    </row>
    <row r="46" spans="1:3" ht="27" customHeight="1">
      <c r="A46" s="41" t="s">
        <v>671</v>
      </c>
      <c r="B46" s="42" t="s">
        <v>369</v>
      </c>
      <c r="C46" s="37">
        <v>4</v>
      </c>
    </row>
    <row r="47" spans="1:3" ht="27" customHeight="1">
      <c r="A47" s="41" t="s">
        <v>672</v>
      </c>
      <c r="B47" s="42" t="s">
        <v>369</v>
      </c>
      <c r="C47" s="37">
        <v>4</v>
      </c>
    </row>
    <row r="48" spans="1:3" ht="27" customHeight="1">
      <c r="A48" s="41" t="s">
        <v>674</v>
      </c>
      <c r="B48" s="42" t="s">
        <v>424</v>
      </c>
      <c r="C48" s="37">
        <v>2</v>
      </c>
    </row>
    <row r="49" spans="1:3" ht="27" customHeight="1">
      <c r="A49" s="41" t="s">
        <v>675</v>
      </c>
      <c r="B49" s="42" t="s">
        <v>424</v>
      </c>
      <c r="C49" s="37">
        <v>3</v>
      </c>
    </row>
    <row r="50" spans="1:3" ht="27" customHeight="1">
      <c r="A50" s="41" t="s">
        <v>676</v>
      </c>
      <c r="B50" s="42" t="s">
        <v>424</v>
      </c>
      <c r="C50" s="37">
        <v>3</v>
      </c>
    </row>
    <row r="51" spans="1:3" ht="27" customHeight="1">
      <c r="A51" s="41" t="s">
        <v>677</v>
      </c>
      <c r="B51" s="42" t="s">
        <v>424</v>
      </c>
      <c r="C51" s="37">
        <v>5</v>
      </c>
    </row>
    <row r="52" spans="1:3" ht="27" customHeight="1">
      <c r="A52" s="41" t="s">
        <v>678</v>
      </c>
      <c r="B52" s="42" t="s">
        <v>434</v>
      </c>
      <c r="C52" s="37">
        <v>3</v>
      </c>
    </row>
    <row r="53" spans="1:3" ht="27" customHeight="1">
      <c r="A53" s="41" t="s">
        <v>679</v>
      </c>
      <c r="B53" s="42" t="s">
        <v>434</v>
      </c>
      <c r="C53" s="37">
        <v>3</v>
      </c>
    </row>
    <row r="54" spans="1:3" ht="27" customHeight="1">
      <c r="A54" s="41" t="s">
        <v>696</v>
      </c>
      <c r="B54" s="42" t="s">
        <v>434</v>
      </c>
      <c r="C54" s="37">
        <v>4</v>
      </c>
    </row>
    <row r="55" spans="1:3" ht="27" customHeight="1">
      <c r="A55" s="41" t="s">
        <v>681</v>
      </c>
      <c r="B55" s="42" t="s">
        <v>500</v>
      </c>
      <c r="C55" s="37">
        <v>7</v>
      </c>
    </row>
    <row r="56" spans="1:3" ht="27" customHeight="1">
      <c r="A56" s="41" t="s">
        <v>682</v>
      </c>
      <c r="B56" s="42" t="s">
        <v>522</v>
      </c>
      <c r="C56" s="37">
        <v>4</v>
      </c>
    </row>
    <row r="57" spans="1:3" ht="27" customHeight="1">
      <c r="A57" s="41" t="s">
        <v>684</v>
      </c>
      <c r="B57" s="42" t="s">
        <v>522</v>
      </c>
      <c r="C57" s="37">
        <v>2</v>
      </c>
    </row>
    <row r="58" spans="1:3" ht="27" customHeight="1">
      <c r="A58" s="41" t="s">
        <v>686</v>
      </c>
      <c r="B58" s="42" t="s">
        <v>522</v>
      </c>
      <c r="C58" s="37">
        <v>2</v>
      </c>
    </row>
    <row r="59" spans="1:3" ht="27" customHeight="1">
      <c r="A59" s="41" t="s">
        <v>687</v>
      </c>
      <c r="B59" s="42" t="s">
        <v>597</v>
      </c>
      <c r="C59" s="37">
        <v>3</v>
      </c>
    </row>
    <row r="60" spans="1:3" ht="27" customHeight="1">
      <c r="A60" s="41" t="s">
        <v>688</v>
      </c>
      <c r="B60" s="42" t="s">
        <v>597</v>
      </c>
      <c r="C60" s="37">
        <v>6</v>
      </c>
    </row>
    <row r="61" spans="1:3" ht="27" customHeight="1">
      <c r="A61" s="39"/>
      <c r="B61" s="39"/>
      <c r="C61" s="37"/>
    </row>
    <row r="62" spans="1:3" ht="27" customHeight="1">
      <c r="A62" s="61" t="s">
        <v>294</v>
      </c>
      <c r="B62" s="61"/>
      <c r="C62" s="43">
        <f>SUM(C42:C60)</f>
        <v>70</v>
      </c>
    </row>
    <row r="63" spans="1:3" ht="27" customHeight="1">
      <c r="A63" s="62" t="s">
        <v>295</v>
      </c>
      <c r="B63" s="62"/>
      <c r="C63" s="44">
        <f>SUM(C2:C60)</f>
        <v>150</v>
      </c>
    </row>
    <row r="64" spans="1:3" ht="27" customHeight="1">
      <c r="A64" s="39"/>
      <c r="B64" s="39"/>
      <c r="C64" s="39"/>
    </row>
    <row r="65" spans="1:3" ht="27" customHeight="1">
      <c r="A65" s="59" t="s">
        <v>720</v>
      </c>
      <c r="B65" s="59"/>
      <c r="C65" s="59"/>
    </row>
    <row r="66" spans="1:3" ht="27" customHeight="1">
      <c r="A66" s="59"/>
      <c r="B66" s="59"/>
      <c r="C66" s="59"/>
    </row>
    <row r="67" spans="1:3" ht="27" customHeight="1">
      <c r="A67" s="59"/>
      <c r="B67" s="59"/>
      <c r="C67" s="59"/>
    </row>
    <row r="68" spans="1:3" ht="27" customHeight="1">
      <c r="A68" s="59"/>
      <c r="B68" s="59"/>
      <c r="C68" s="59"/>
    </row>
    <row r="69" spans="1:3" ht="27" customHeight="1"/>
    <row r="70" spans="1:3" ht="27" customHeight="1"/>
    <row r="71" spans="1:3" ht="27" customHeight="1"/>
    <row r="72" spans="1:3" ht="27" customHeight="1"/>
    <row r="73" spans="1:3" ht="27" customHeight="1"/>
    <row r="74" spans="1:3" ht="27" customHeight="1"/>
    <row r="75" spans="1:3" ht="27" customHeight="1"/>
    <row r="76" spans="1:3" ht="27" customHeight="1"/>
    <row r="77" spans="1:3" ht="27" customHeight="1"/>
    <row r="78" spans="1:3" ht="27" customHeight="1"/>
    <row r="79" spans="1:3" ht="27" customHeight="1"/>
    <row r="80" spans="1:3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</sheetData>
  <mergeCells count="3">
    <mergeCell ref="A62:B62"/>
    <mergeCell ref="A63:B63"/>
    <mergeCell ref="A65:C68"/>
  </mergeCells>
  <phoneticPr fontId="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3319-7B96-437E-A678-70E49EDBAAA6}">
  <dimension ref="A1:C88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4" customWidth="1"/>
    <col min="2" max="2" width="62" customWidth="1"/>
    <col min="3" max="3" width="12" customWidth="1"/>
  </cols>
  <sheetData>
    <row r="1" spans="1:3" ht="30" customHeight="1">
      <c r="A1" s="40" t="s">
        <v>257</v>
      </c>
      <c r="B1" s="40" t="s">
        <v>258</v>
      </c>
      <c r="C1" s="40" t="s">
        <v>259</v>
      </c>
    </row>
    <row r="2" spans="1:3" ht="27" customHeight="1">
      <c r="A2" s="41" t="s">
        <v>260</v>
      </c>
      <c r="B2" s="42" t="s">
        <v>354</v>
      </c>
      <c r="C2" s="37">
        <v>2</v>
      </c>
    </row>
    <row r="3" spans="1:3" ht="27" customHeight="1">
      <c r="A3" s="41" t="s">
        <v>261</v>
      </c>
      <c r="B3" s="42" t="s">
        <v>369</v>
      </c>
      <c r="C3" s="37">
        <v>2</v>
      </c>
    </row>
    <row r="4" spans="1:3" ht="27" customHeight="1">
      <c r="A4" s="41" t="s">
        <v>262</v>
      </c>
      <c r="B4" s="42" t="s">
        <v>369</v>
      </c>
      <c r="C4" s="37">
        <v>2</v>
      </c>
    </row>
    <row r="5" spans="1:3" ht="27" customHeight="1">
      <c r="A5" s="41" t="s">
        <v>263</v>
      </c>
      <c r="B5" s="42" t="s">
        <v>392</v>
      </c>
      <c r="C5" s="37">
        <v>2</v>
      </c>
    </row>
    <row r="6" spans="1:3" ht="27" customHeight="1">
      <c r="A6" s="41" t="s">
        <v>264</v>
      </c>
      <c r="B6" s="42" t="s">
        <v>381</v>
      </c>
      <c r="C6" s="37">
        <v>2</v>
      </c>
    </row>
    <row r="7" spans="1:3" ht="27" customHeight="1">
      <c r="A7" s="41" t="s">
        <v>265</v>
      </c>
      <c r="B7" s="42" t="s">
        <v>381</v>
      </c>
      <c r="C7" s="37">
        <v>2</v>
      </c>
    </row>
    <row r="8" spans="1:3" ht="27" customHeight="1">
      <c r="A8" s="41" t="s">
        <v>266</v>
      </c>
      <c r="B8" s="42" t="s">
        <v>404</v>
      </c>
      <c r="C8" s="37">
        <v>2</v>
      </c>
    </row>
    <row r="9" spans="1:3" ht="27" customHeight="1">
      <c r="A9" s="41" t="s">
        <v>267</v>
      </c>
      <c r="B9" s="42" t="s">
        <v>392</v>
      </c>
      <c r="C9" s="37">
        <v>2</v>
      </c>
    </row>
    <row r="10" spans="1:3" ht="27" customHeight="1">
      <c r="A10" s="41" t="s">
        <v>268</v>
      </c>
      <c r="B10" s="42" t="s">
        <v>392</v>
      </c>
      <c r="C10" s="37">
        <v>2</v>
      </c>
    </row>
    <row r="11" spans="1:3" ht="27" customHeight="1">
      <c r="A11" s="41" t="s">
        <v>269</v>
      </c>
      <c r="B11" s="42" t="s">
        <v>404</v>
      </c>
      <c r="C11" s="37">
        <v>2</v>
      </c>
    </row>
    <row r="12" spans="1:3" ht="27" customHeight="1">
      <c r="A12" s="41" t="s">
        <v>270</v>
      </c>
      <c r="B12" s="42" t="s">
        <v>404</v>
      </c>
      <c r="C12" s="37">
        <v>2</v>
      </c>
    </row>
    <row r="13" spans="1:3" ht="27" customHeight="1">
      <c r="A13" s="41" t="s">
        <v>271</v>
      </c>
      <c r="B13" s="42" t="s">
        <v>418</v>
      </c>
      <c r="C13" s="37">
        <v>2</v>
      </c>
    </row>
    <row r="14" spans="1:3" ht="27" customHeight="1">
      <c r="A14" s="41" t="s">
        <v>272</v>
      </c>
      <c r="B14" s="42" t="s">
        <v>424</v>
      </c>
      <c r="C14" s="37">
        <v>2</v>
      </c>
    </row>
    <row r="15" spans="1:3" ht="27" customHeight="1">
      <c r="A15" s="41" t="s">
        <v>274</v>
      </c>
      <c r="B15" s="42" t="s">
        <v>463</v>
      </c>
      <c r="C15" s="37">
        <v>2</v>
      </c>
    </row>
    <row r="16" spans="1:3" ht="27" customHeight="1">
      <c r="A16" s="41" t="s">
        <v>276</v>
      </c>
      <c r="B16" s="42" t="s">
        <v>453</v>
      </c>
      <c r="C16" s="37">
        <v>2</v>
      </c>
    </row>
    <row r="17" spans="1:3" ht="27" customHeight="1">
      <c r="A17" s="41" t="s">
        <v>277</v>
      </c>
      <c r="B17" s="42" t="s">
        <v>463</v>
      </c>
      <c r="C17" s="37">
        <v>2</v>
      </c>
    </row>
    <row r="18" spans="1:3" ht="27" customHeight="1">
      <c r="A18" s="41" t="s">
        <v>279</v>
      </c>
      <c r="B18" s="42" t="s">
        <v>463</v>
      </c>
      <c r="C18" s="37">
        <v>2</v>
      </c>
    </row>
    <row r="19" spans="1:3" ht="27" customHeight="1">
      <c r="A19" s="41" t="s">
        <v>303</v>
      </c>
      <c r="B19" s="42" t="s">
        <v>463</v>
      </c>
      <c r="C19" s="37">
        <v>2</v>
      </c>
    </row>
    <row r="20" spans="1:3" ht="27" customHeight="1">
      <c r="A20" s="41" t="s">
        <v>318</v>
      </c>
      <c r="B20" s="42" t="s">
        <v>479</v>
      </c>
      <c r="C20" s="37">
        <v>2</v>
      </c>
    </row>
    <row r="21" spans="1:3" ht="27" customHeight="1">
      <c r="A21" s="41" t="s">
        <v>327</v>
      </c>
      <c r="B21" s="42" t="s">
        <v>434</v>
      </c>
      <c r="C21" s="37">
        <v>2</v>
      </c>
    </row>
    <row r="22" spans="1:3" ht="27" customHeight="1">
      <c r="A22" s="41" t="s">
        <v>287</v>
      </c>
      <c r="B22" s="42" t="s">
        <v>479</v>
      </c>
      <c r="C22" s="37">
        <v>2</v>
      </c>
    </row>
    <row r="23" spans="1:3" ht="27" customHeight="1">
      <c r="A23" s="41" t="s">
        <v>329</v>
      </c>
      <c r="B23" s="42" t="s">
        <v>479</v>
      </c>
      <c r="C23" s="37">
        <v>2</v>
      </c>
    </row>
    <row r="24" spans="1:3" ht="27" customHeight="1">
      <c r="A24" s="41" t="s">
        <v>330</v>
      </c>
      <c r="B24" s="42" t="s">
        <v>500</v>
      </c>
      <c r="C24" s="37">
        <v>2</v>
      </c>
    </row>
    <row r="25" spans="1:3" ht="27" customHeight="1">
      <c r="A25" s="41" t="s">
        <v>332</v>
      </c>
      <c r="B25" s="42" t="s">
        <v>500</v>
      </c>
      <c r="C25" s="37">
        <v>2</v>
      </c>
    </row>
    <row r="26" spans="1:3" ht="27" customHeight="1">
      <c r="A26" s="41" t="s">
        <v>337</v>
      </c>
      <c r="B26" s="42" t="s">
        <v>489</v>
      </c>
      <c r="C26" s="37">
        <v>2</v>
      </c>
    </row>
    <row r="27" spans="1:3" ht="27" customHeight="1">
      <c r="A27" s="41" t="s">
        <v>338</v>
      </c>
      <c r="B27" s="42" t="s">
        <v>534</v>
      </c>
      <c r="C27" s="37">
        <v>2</v>
      </c>
    </row>
    <row r="28" spans="1:3" ht="27" customHeight="1">
      <c r="A28" s="41" t="s">
        <v>339</v>
      </c>
      <c r="B28" s="42" t="s">
        <v>500</v>
      </c>
      <c r="C28" s="37">
        <v>2</v>
      </c>
    </row>
    <row r="29" spans="1:3" ht="27" customHeight="1">
      <c r="A29" s="41" t="s">
        <v>652</v>
      </c>
      <c r="B29" s="42" t="s">
        <v>522</v>
      </c>
      <c r="C29" s="37">
        <v>2</v>
      </c>
    </row>
    <row r="30" spans="1:3" ht="27" customHeight="1">
      <c r="A30" s="41" t="s">
        <v>653</v>
      </c>
      <c r="B30" s="42" t="s">
        <v>522</v>
      </c>
      <c r="C30" s="37">
        <v>2</v>
      </c>
    </row>
    <row r="31" spans="1:3" ht="27" customHeight="1">
      <c r="A31" s="41" t="s">
        <v>654</v>
      </c>
      <c r="B31" s="42" t="s">
        <v>500</v>
      </c>
      <c r="C31" s="37">
        <v>2</v>
      </c>
    </row>
    <row r="32" spans="1:3" ht="27" customHeight="1">
      <c r="A32" s="41" t="s">
        <v>655</v>
      </c>
      <c r="B32" s="42" t="s">
        <v>522</v>
      </c>
      <c r="C32" s="37">
        <v>2</v>
      </c>
    </row>
    <row r="33" spans="1:3" ht="27" customHeight="1">
      <c r="A33" s="41" t="s">
        <v>656</v>
      </c>
      <c r="B33" s="42" t="s">
        <v>522</v>
      </c>
      <c r="C33" s="37">
        <v>2</v>
      </c>
    </row>
    <row r="34" spans="1:3" ht="27" customHeight="1">
      <c r="A34" s="41" t="s">
        <v>657</v>
      </c>
      <c r="B34" s="42" t="s">
        <v>561</v>
      </c>
      <c r="C34" s="37">
        <v>2</v>
      </c>
    </row>
    <row r="35" spans="1:3" ht="27" customHeight="1">
      <c r="A35" s="41" t="s">
        <v>659</v>
      </c>
      <c r="B35" s="42" t="s">
        <v>568</v>
      </c>
      <c r="C35" s="37">
        <v>2</v>
      </c>
    </row>
    <row r="36" spans="1:3" ht="27" customHeight="1">
      <c r="A36" s="41" t="s">
        <v>660</v>
      </c>
      <c r="B36" s="42" t="s">
        <v>578</v>
      </c>
      <c r="C36" s="37">
        <v>2</v>
      </c>
    </row>
    <row r="37" spans="1:3" ht="27" customHeight="1">
      <c r="A37" s="41" t="s">
        <v>661</v>
      </c>
      <c r="B37" s="42" t="s">
        <v>578</v>
      </c>
      <c r="C37" s="37">
        <v>2</v>
      </c>
    </row>
    <row r="38" spans="1:3" ht="27" customHeight="1">
      <c r="A38" s="41" t="s">
        <v>662</v>
      </c>
      <c r="B38" s="42" t="s">
        <v>597</v>
      </c>
      <c r="C38" s="37">
        <v>2</v>
      </c>
    </row>
    <row r="39" spans="1:3" ht="27" customHeight="1">
      <c r="A39" s="41" t="s">
        <v>664</v>
      </c>
      <c r="B39" s="42" t="s">
        <v>623</v>
      </c>
      <c r="C39" s="37">
        <v>2</v>
      </c>
    </row>
    <row r="40" spans="1:3" ht="27" customHeight="1">
      <c r="A40" s="41" t="s">
        <v>665</v>
      </c>
      <c r="B40" s="42" t="s">
        <v>623</v>
      </c>
      <c r="C40" s="37">
        <v>2</v>
      </c>
    </row>
    <row r="41" spans="1:3" ht="27" customHeight="1">
      <c r="A41" s="41" t="s">
        <v>666</v>
      </c>
      <c r="B41" s="42" t="s">
        <v>634</v>
      </c>
      <c r="C41" s="37">
        <v>2</v>
      </c>
    </row>
    <row r="42" spans="1:3" ht="27" customHeight="1">
      <c r="A42" s="41" t="s">
        <v>667</v>
      </c>
      <c r="B42" s="42" t="s">
        <v>357</v>
      </c>
      <c r="C42" s="37">
        <v>4</v>
      </c>
    </row>
    <row r="43" spans="1:3" ht="27" customHeight="1">
      <c r="A43" s="41" t="s">
        <v>668</v>
      </c>
      <c r="B43" s="42" t="s">
        <v>357</v>
      </c>
      <c r="C43" s="37">
        <v>7</v>
      </c>
    </row>
    <row r="44" spans="1:3" ht="27" customHeight="1">
      <c r="A44" s="41" t="s">
        <v>669</v>
      </c>
      <c r="B44" s="42" t="s">
        <v>354</v>
      </c>
      <c r="C44" s="37">
        <v>2</v>
      </c>
    </row>
    <row r="45" spans="1:3" ht="27" customHeight="1">
      <c r="A45" s="41" t="s">
        <v>670</v>
      </c>
      <c r="B45" s="42" t="s">
        <v>362</v>
      </c>
      <c r="C45" s="37">
        <v>1</v>
      </c>
    </row>
    <row r="46" spans="1:3" ht="27" customHeight="1">
      <c r="A46" s="41" t="s">
        <v>671</v>
      </c>
      <c r="B46" s="42" t="s">
        <v>362</v>
      </c>
      <c r="C46" s="37">
        <v>3</v>
      </c>
    </row>
    <row r="47" spans="1:3" ht="27" customHeight="1">
      <c r="A47" s="41" t="s">
        <v>672</v>
      </c>
      <c r="B47" s="42" t="s">
        <v>362</v>
      </c>
      <c r="C47" s="37">
        <v>2</v>
      </c>
    </row>
    <row r="48" spans="1:3" ht="27" customHeight="1">
      <c r="A48" s="41" t="s">
        <v>673</v>
      </c>
      <c r="B48" s="42" t="s">
        <v>362</v>
      </c>
      <c r="C48" s="37">
        <v>4</v>
      </c>
    </row>
    <row r="49" spans="1:3" ht="27" customHeight="1">
      <c r="A49" s="41" t="s">
        <v>721</v>
      </c>
      <c r="B49" s="42" t="s">
        <v>500</v>
      </c>
      <c r="C49" s="37">
        <v>8</v>
      </c>
    </row>
    <row r="50" spans="1:3" ht="27" customHeight="1">
      <c r="A50" s="41" t="s">
        <v>678</v>
      </c>
      <c r="B50" s="42" t="s">
        <v>549</v>
      </c>
      <c r="C50" s="37">
        <v>1</v>
      </c>
    </row>
    <row r="51" spans="1:3" ht="27" customHeight="1">
      <c r="A51" s="41" t="s">
        <v>679</v>
      </c>
      <c r="B51" s="42" t="s">
        <v>549</v>
      </c>
      <c r="C51" s="37">
        <v>3</v>
      </c>
    </row>
    <row r="52" spans="1:3" ht="27" customHeight="1">
      <c r="A52" s="41" t="s">
        <v>696</v>
      </c>
      <c r="B52" s="42" t="s">
        <v>549</v>
      </c>
      <c r="C52" s="37">
        <v>3</v>
      </c>
    </row>
    <row r="53" spans="1:3" ht="27" customHeight="1">
      <c r="A53" s="41" t="s">
        <v>697</v>
      </c>
      <c r="B53" s="42" t="s">
        <v>453</v>
      </c>
      <c r="C53" s="37">
        <v>2</v>
      </c>
    </row>
    <row r="54" spans="1:3" ht="27" customHeight="1">
      <c r="A54" s="41" t="s">
        <v>698</v>
      </c>
      <c r="B54" s="42" t="s">
        <v>453</v>
      </c>
      <c r="C54" s="37">
        <v>2</v>
      </c>
    </row>
    <row r="55" spans="1:3" ht="27" customHeight="1">
      <c r="A55" s="41" t="s">
        <v>709</v>
      </c>
      <c r="B55" s="42" t="s">
        <v>453</v>
      </c>
      <c r="C55" s="37">
        <v>4</v>
      </c>
    </row>
    <row r="56" spans="1:3" ht="27" customHeight="1">
      <c r="A56" s="41" t="s">
        <v>710</v>
      </c>
      <c r="B56" s="42" t="s">
        <v>424</v>
      </c>
      <c r="C56" s="37">
        <v>3</v>
      </c>
    </row>
    <row r="57" spans="1:3" ht="27" customHeight="1">
      <c r="A57" s="41" t="s">
        <v>722</v>
      </c>
      <c r="B57" s="42" t="s">
        <v>680</v>
      </c>
      <c r="C57" s="37">
        <v>5</v>
      </c>
    </row>
    <row r="58" spans="1:3" ht="27" customHeight="1">
      <c r="A58" s="41" t="s">
        <v>711</v>
      </c>
      <c r="B58" s="42" t="s">
        <v>434</v>
      </c>
      <c r="C58" s="37">
        <v>7</v>
      </c>
    </row>
    <row r="59" spans="1:3" ht="27" customHeight="1">
      <c r="A59" s="41" t="s">
        <v>687</v>
      </c>
      <c r="B59" s="42" t="s">
        <v>713</v>
      </c>
      <c r="C59" s="37">
        <v>2</v>
      </c>
    </row>
    <row r="60" spans="1:3" ht="27" customHeight="1">
      <c r="A60" s="41" t="s">
        <v>688</v>
      </c>
      <c r="B60" s="42" t="s">
        <v>597</v>
      </c>
      <c r="C60" s="37">
        <v>3</v>
      </c>
    </row>
    <row r="61" spans="1:3" ht="27" customHeight="1">
      <c r="A61" s="41" t="s">
        <v>689</v>
      </c>
      <c r="B61" s="42" t="s">
        <v>597</v>
      </c>
      <c r="C61" s="37">
        <v>2</v>
      </c>
    </row>
    <row r="62" spans="1:3" ht="27" customHeight="1">
      <c r="A62" s="41" t="s">
        <v>699</v>
      </c>
      <c r="B62" s="42" t="s">
        <v>597</v>
      </c>
      <c r="C62" s="37">
        <v>2</v>
      </c>
    </row>
    <row r="63" spans="1:3" ht="27" customHeight="1">
      <c r="A63" s="39"/>
      <c r="B63" s="39"/>
      <c r="C63" s="37"/>
    </row>
    <row r="64" spans="1:3" ht="27" customHeight="1">
      <c r="A64" s="61" t="s">
        <v>294</v>
      </c>
      <c r="B64" s="61"/>
      <c r="C64" s="43">
        <f>SUM(C42:C62)</f>
        <v>70</v>
      </c>
    </row>
    <row r="65" spans="1:3" ht="27" customHeight="1">
      <c r="A65" s="62" t="s">
        <v>295</v>
      </c>
      <c r="B65" s="62"/>
      <c r="C65" s="44">
        <f>SUM(C2:C62)</f>
        <v>150</v>
      </c>
    </row>
    <row r="66" spans="1:3" ht="27" customHeight="1">
      <c r="A66" s="39"/>
      <c r="B66" s="39"/>
      <c r="C66" s="39"/>
    </row>
    <row r="67" spans="1:3" ht="27" customHeight="1">
      <c r="A67" s="59" t="s">
        <v>723</v>
      </c>
      <c r="B67" s="59"/>
      <c r="C67" s="59"/>
    </row>
    <row r="68" spans="1:3" ht="27" customHeight="1">
      <c r="A68" s="59"/>
      <c r="B68" s="59"/>
      <c r="C68" s="59"/>
    </row>
    <row r="69" spans="1:3" ht="27" customHeight="1">
      <c r="A69" s="59"/>
      <c r="B69" s="59"/>
      <c r="C69" s="59"/>
    </row>
    <row r="70" spans="1:3" ht="27" customHeight="1">
      <c r="A70" s="59"/>
      <c r="B70" s="59"/>
      <c r="C70" s="59"/>
    </row>
    <row r="71" spans="1:3" ht="27" customHeight="1"/>
    <row r="72" spans="1:3" ht="27" customHeight="1"/>
    <row r="73" spans="1:3" ht="27" customHeight="1"/>
    <row r="74" spans="1:3" ht="27" customHeight="1"/>
    <row r="75" spans="1:3" ht="27" customHeight="1"/>
    <row r="76" spans="1:3" ht="27" customHeight="1"/>
    <row r="77" spans="1:3" ht="27" customHeight="1"/>
    <row r="78" spans="1:3" ht="27" customHeight="1"/>
    <row r="79" spans="1:3" ht="27" customHeight="1"/>
    <row r="80" spans="1:3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</sheetData>
  <mergeCells count="3">
    <mergeCell ref="A64:B64"/>
    <mergeCell ref="A65:B65"/>
    <mergeCell ref="A67:C70"/>
  </mergeCells>
  <phoneticPr fontId="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19741-FAC5-46E9-BD0A-C70F2C4C84C1}">
  <dimension ref="A1:C88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4" customWidth="1"/>
    <col min="2" max="2" width="62" customWidth="1"/>
    <col min="3" max="3" width="12" customWidth="1"/>
  </cols>
  <sheetData>
    <row r="1" spans="1:3" ht="30" customHeight="1">
      <c r="A1" s="40" t="s">
        <v>257</v>
      </c>
      <c r="B1" s="40" t="s">
        <v>258</v>
      </c>
      <c r="C1" s="40" t="s">
        <v>259</v>
      </c>
    </row>
    <row r="2" spans="1:3" ht="27" customHeight="1">
      <c r="A2" s="41" t="s">
        <v>260</v>
      </c>
      <c r="B2" s="42" t="s">
        <v>362</v>
      </c>
      <c r="C2" s="37">
        <v>2</v>
      </c>
    </row>
    <row r="3" spans="1:3" ht="27" customHeight="1">
      <c r="A3" s="41" t="s">
        <v>261</v>
      </c>
      <c r="B3" s="42" t="s">
        <v>362</v>
      </c>
      <c r="C3" s="37">
        <v>2</v>
      </c>
    </row>
    <row r="4" spans="1:3" ht="27" customHeight="1">
      <c r="A4" s="41" t="s">
        <v>262</v>
      </c>
      <c r="B4" s="42" t="s">
        <v>362</v>
      </c>
      <c r="C4" s="37">
        <v>2</v>
      </c>
    </row>
    <row r="5" spans="1:3" ht="27" customHeight="1">
      <c r="A5" s="41" t="s">
        <v>263</v>
      </c>
      <c r="B5" s="42" t="s">
        <v>369</v>
      </c>
      <c r="C5" s="37">
        <v>2</v>
      </c>
    </row>
    <row r="6" spans="1:3" ht="27" customHeight="1">
      <c r="A6" s="41" t="s">
        <v>264</v>
      </c>
      <c r="B6" s="42" t="s">
        <v>369</v>
      </c>
      <c r="C6" s="37">
        <v>2</v>
      </c>
    </row>
    <row r="7" spans="1:3" ht="27" customHeight="1">
      <c r="A7" s="41" t="s">
        <v>265</v>
      </c>
      <c r="B7" s="42" t="s">
        <v>392</v>
      </c>
      <c r="C7" s="37">
        <v>2</v>
      </c>
    </row>
    <row r="8" spans="1:3" ht="27" customHeight="1">
      <c r="A8" s="41" t="s">
        <v>266</v>
      </c>
      <c r="B8" s="42" t="s">
        <v>381</v>
      </c>
      <c r="C8" s="37">
        <v>2</v>
      </c>
    </row>
    <row r="9" spans="1:3" ht="27" customHeight="1">
      <c r="A9" s="41" t="s">
        <v>267</v>
      </c>
      <c r="B9" s="42" t="s">
        <v>392</v>
      </c>
      <c r="C9" s="37">
        <v>2</v>
      </c>
    </row>
    <row r="10" spans="1:3" ht="27" customHeight="1">
      <c r="A10" s="41" t="s">
        <v>268</v>
      </c>
      <c r="B10" s="42" t="s">
        <v>392</v>
      </c>
      <c r="C10" s="37">
        <v>2</v>
      </c>
    </row>
    <row r="11" spans="1:3" ht="27" customHeight="1">
      <c r="A11" s="41" t="s">
        <v>269</v>
      </c>
      <c r="B11" s="42" t="s">
        <v>404</v>
      </c>
      <c r="C11" s="37">
        <v>2</v>
      </c>
    </row>
    <row r="12" spans="1:3" ht="27" customHeight="1">
      <c r="A12" s="41" t="s">
        <v>270</v>
      </c>
      <c r="B12" s="42" t="s">
        <v>369</v>
      </c>
      <c r="C12" s="37">
        <v>2</v>
      </c>
    </row>
    <row r="13" spans="1:3" ht="27" customHeight="1">
      <c r="A13" s="41" t="s">
        <v>271</v>
      </c>
      <c r="B13" s="42" t="s">
        <v>418</v>
      </c>
      <c r="C13" s="37">
        <v>2</v>
      </c>
    </row>
    <row r="14" spans="1:3" ht="27" customHeight="1">
      <c r="A14" s="41" t="s">
        <v>272</v>
      </c>
      <c r="B14" s="42" t="s">
        <v>424</v>
      </c>
      <c r="C14" s="37">
        <v>2</v>
      </c>
    </row>
    <row r="15" spans="1:3" ht="27" customHeight="1">
      <c r="A15" s="41" t="s">
        <v>274</v>
      </c>
      <c r="B15" s="42" t="s">
        <v>424</v>
      </c>
      <c r="C15" s="37">
        <v>2</v>
      </c>
    </row>
    <row r="16" spans="1:3" ht="27" customHeight="1">
      <c r="A16" s="41" t="s">
        <v>276</v>
      </c>
      <c r="B16" s="42" t="s">
        <v>724</v>
      </c>
      <c r="C16" s="37">
        <v>2</v>
      </c>
    </row>
    <row r="17" spans="1:3" ht="27" customHeight="1">
      <c r="A17" s="41" t="s">
        <v>277</v>
      </c>
      <c r="B17" s="42" t="s">
        <v>424</v>
      </c>
      <c r="C17" s="37">
        <v>2</v>
      </c>
    </row>
    <row r="18" spans="1:3" ht="27" customHeight="1">
      <c r="A18" s="41" t="s">
        <v>279</v>
      </c>
      <c r="B18" s="42" t="s">
        <v>434</v>
      </c>
      <c r="C18" s="37">
        <v>2</v>
      </c>
    </row>
    <row r="19" spans="1:3" ht="27" customHeight="1">
      <c r="A19" s="41" t="s">
        <v>303</v>
      </c>
      <c r="B19" s="42" t="s">
        <v>453</v>
      </c>
      <c r="C19" s="37">
        <v>2</v>
      </c>
    </row>
    <row r="20" spans="1:3" ht="27" customHeight="1">
      <c r="A20" s="41" t="s">
        <v>318</v>
      </c>
      <c r="B20" s="42" t="s">
        <v>424</v>
      </c>
      <c r="C20" s="37">
        <v>2</v>
      </c>
    </row>
    <row r="21" spans="1:3" ht="27" customHeight="1">
      <c r="A21" s="41" t="s">
        <v>327</v>
      </c>
      <c r="B21" s="42" t="s">
        <v>463</v>
      </c>
      <c r="C21" s="37">
        <v>2</v>
      </c>
    </row>
    <row r="22" spans="1:3" ht="27" customHeight="1">
      <c r="A22" s="41" t="s">
        <v>287</v>
      </c>
      <c r="B22" s="42" t="s">
        <v>479</v>
      </c>
      <c r="C22" s="37">
        <v>2</v>
      </c>
    </row>
    <row r="23" spans="1:3" ht="27" customHeight="1">
      <c r="A23" s="41" t="s">
        <v>329</v>
      </c>
      <c r="B23" s="42" t="s">
        <v>479</v>
      </c>
      <c r="C23" s="37">
        <v>2</v>
      </c>
    </row>
    <row r="24" spans="1:3" ht="27" customHeight="1">
      <c r="A24" s="41" t="s">
        <v>330</v>
      </c>
      <c r="B24" s="42" t="s">
        <v>489</v>
      </c>
      <c r="C24" s="37">
        <v>2</v>
      </c>
    </row>
    <row r="25" spans="1:3" ht="27" customHeight="1">
      <c r="A25" s="41" t="s">
        <v>332</v>
      </c>
      <c r="B25" s="42" t="s">
        <v>500</v>
      </c>
      <c r="C25" s="37">
        <v>2</v>
      </c>
    </row>
    <row r="26" spans="1:3" ht="27" customHeight="1">
      <c r="A26" s="41" t="s">
        <v>337</v>
      </c>
      <c r="B26" s="42" t="s">
        <v>500</v>
      </c>
      <c r="C26" s="37">
        <v>2</v>
      </c>
    </row>
    <row r="27" spans="1:3" ht="27" customHeight="1">
      <c r="A27" s="41" t="s">
        <v>338</v>
      </c>
      <c r="B27" s="42" t="s">
        <v>500</v>
      </c>
      <c r="C27" s="37">
        <v>2</v>
      </c>
    </row>
    <row r="28" spans="1:3" ht="27" customHeight="1">
      <c r="A28" s="41" t="s">
        <v>339</v>
      </c>
      <c r="B28" s="42" t="s">
        <v>500</v>
      </c>
      <c r="C28" s="37">
        <v>2</v>
      </c>
    </row>
    <row r="29" spans="1:3" ht="27" customHeight="1">
      <c r="A29" s="41" t="s">
        <v>652</v>
      </c>
      <c r="B29" s="42" t="s">
        <v>500</v>
      </c>
      <c r="C29" s="37">
        <v>2</v>
      </c>
    </row>
    <row r="30" spans="1:3" ht="27" customHeight="1">
      <c r="A30" s="41" t="s">
        <v>653</v>
      </c>
      <c r="B30" s="42" t="s">
        <v>683</v>
      </c>
      <c r="C30" s="37">
        <v>2</v>
      </c>
    </row>
    <row r="31" spans="1:3" ht="27" customHeight="1">
      <c r="A31" s="41" t="s">
        <v>654</v>
      </c>
      <c r="B31" s="42" t="s">
        <v>549</v>
      </c>
      <c r="C31" s="37">
        <v>2</v>
      </c>
    </row>
    <row r="32" spans="1:3" ht="27" customHeight="1">
      <c r="A32" s="41" t="s">
        <v>655</v>
      </c>
      <c r="B32" s="42" t="s">
        <v>534</v>
      </c>
      <c r="C32" s="37">
        <v>2</v>
      </c>
    </row>
    <row r="33" spans="1:3" ht="27" customHeight="1">
      <c r="A33" s="41" t="s">
        <v>656</v>
      </c>
      <c r="B33" s="42" t="s">
        <v>500</v>
      </c>
      <c r="C33" s="37">
        <v>2</v>
      </c>
    </row>
    <row r="34" spans="1:3" ht="27" customHeight="1">
      <c r="A34" s="41" t="s">
        <v>657</v>
      </c>
      <c r="B34" s="42" t="s">
        <v>634</v>
      </c>
      <c r="C34" s="37">
        <v>2</v>
      </c>
    </row>
    <row r="35" spans="1:3" ht="27" customHeight="1">
      <c r="A35" s="41" t="s">
        <v>659</v>
      </c>
      <c r="B35" s="42" t="s">
        <v>568</v>
      </c>
      <c r="C35" s="37">
        <v>2</v>
      </c>
    </row>
    <row r="36" spans="1:3" ht="27" customHeight="1">
      <c r="A36" s="41" t="s">
        <v>660</v>
      </c>
      <c r="B36" s="42" t="s">
        <v>578</v>
      </c>
      <c r="C36" s="37">
        <v>2</v>
      </c>
    </row>
    <row r="37" spans="1:3" ht="27" customHeight="1">
      <c r="A37" s="41" t="s">
        <v>661</v>
      </c>
      <c r="B37" s="42" t="s">
        <v>578</v>
      </c>
      <c r="C37" s="37">
        <v>2</v>
      </c>
    </row>
    <row r="38" spans="1:3" ht="27" customHeight="1">
      <c r="A38" s="41" t="s">
        <v>662</v>
      </c>
      <c r="B38" s="42" t="s">
        <v>713</v>
      </c>
      <c r="C38" s="37">
        <v>2</v>
      </c>
    </row>
    <row r="39" spans="1:3" ht="27" customHeight="1">
      <c r="A39" s="41" t="s">
        <v>664</v>
      </c>
      <c r="B39" s="42" t="s">
        <v>597</v>
      </c>
      <c r="C39" s="37">
        <v>2</v>
      </c>
    </row>
    <row r="40" spans="1:3" ht="27" customHeight="1">
      <c r="A40" s="41" t="s">
        <v>665</v>
      </c>
      <c r="B40" s="42" t="s">
        <v>623</v>
      </c>
      <c r="C40" s="37">
        <v>2</v>
      </c>
    </row>
    <row r="41" spans="1:3" ht="27" customHeight="1">
      <c r="A41" s="41" t="s">
        <v>666</v>
      </c>
      <c r="B41" s="42" t="s">
        <v>634</v>
      </c>
      <c r="C41" s="37">
        <v>2</v>
      </c>
    </row>
    <row r="42" spans="1:3" ht="27" customHeight="1">
      <c r="A42" s="41" t="s">
        <v>667</v>
      </c>
      <c r="B42" s="42" t="s">
        <v>357</v>
      </c>
      <c r="C42" s="37">
        <v>4</v>
      </c>
    </row>
    <row r="43" spans="1:3" ht="27" customHeight="1">
      <c r="A43" s="41" t="s">
        <v>668</v>
      </c>
      <c r="B43" s="42" t="s">
        <v>357</v>
      </c>
      <c r="C43" s="37">
        <v>7</v>
      </c>
    </row>
    <row r="44" spans="1:3" ht="27" customHeight="1">
      <c r="A44" s="41" t="s">
        <v>669</v>
      </c>
      <c r="B44" s="42" t="s">
        <v>354</v>
      </c>
      <c r="C44" s="37">
        <v>2</v>
      </c>
    </row>
    <row r="45" spans="1:3" ht="27" customHeight="1">
      <c r="A45" s="41" t="s">
        <v>670</v>
      </c>
      <c r="B45" s="42" t="s">
        <v>381</v>
      </c>
      <c r="C45" s="37">
        <v>7</v>
      </c>
    </row>
    <row r="46" spans="1:3" ht="27" customHeight="1">
      <c r="A46" s="41" t="s">
        <v>671</v>
      </c>
      <c r="B46" s="42" t="s">
        <v>381</v>
      </c>
      <c r="C46" s="37">
        <v>3</v>
      </c>
    </row>
    <row r="47" spans="1:3" ht="27" customHeight="1">
      <c r="A47" s="41" t="s">
        <v>672</v>
      </c>
      <c r="B47" s="42" t="s">
        <v>597</v>
      </c>
      <c r="C47" s="37">
        <v>2</v>
      </c>
    </row>
    <row r="48" spans="1:3" ht="27" customHeight="1">
      <c r="A48" s="41" t="s">
        <v>674</v>
      </c>
      <c r="B48" s="42" t="s">
        <v>479</v>
      </c>
      <c r="C48" s="37">
        <v>3</v>
      </c>
    </row>
    <row r="49" spans="1:3" ht="27" customHeight="1">
      <c r="A49" s="41" t="s">
        <v>675</v>
      </c>
      <c r="B49" s="42" t="s">
        <v>479</v>
      </c>
      <c r="C49" s="37">
        <v>2</v>
      </c>
    </row>
    <row r="50" spans="1:3" ht="27" customHeight="1">
      <c r="A50" s="41" t="s">
        <v>676</v>
      </c>
      <c r="B50" s="42" t="s">
        <v>479</v>
      </c>
      <c r="C50" s="37">
        <v>3</v>
      </c>
    </row>
    <row r="51" spans="1:3" ht="27" customHeight="1">
      <c r="A51" s="41" t="s">
        <v>678</v>
      </c>
      <c r="B51" s="42" t="s">
        <v>434</v>
      </c>
      <c r="C51" s="37">
        <v>1</v>
      </c>
    </row>
    <row r="52" spans="1:3" ht="27" customHeight="1">
      <c r="A52" s="41" t="s">
        <v>679</v>
      </c>
      <c r="B52" s="42" t="s">
        <v>434</v>
      </c>
      <c r="C52" s="37">
        <v>3</v>
      </c>
    </row>
    <row r="53" spans="1:3" ht="27" customHeight="1">
      <c r="A53" s="41" t="s">
        <v>696</v>
      </c>
      <c r="B53" s="42" t="s">
        <v>434</v>
      </c>
      <c r="C53" s="37">
        <v>6</v>
      </c>
    </row>
    <row r="54" spans="1:3" ht="27" customHeight="1">
      <c r="A54" s="41" t="s">
        <v>702</v>
      </c>
      <c r="B54" s="42" t="s">
        <v>434</v>
      </c>
      <c r="C54" s="37">
        <v>5</v>
      </c>
    </row>
    <row r="55" spans="1:3" ht="27" customHeight="1">
      <c r="A55" s="41" t="s">
        <v>697</v>
      </c>
      <c r="B55" s="42" t="s">
        <v>522</v>
      </c>
      <c r="C55" s="37">
        <v>2</v>
      </c>
    </row>
    <row r="56" spans="1:3" ht="27" customHeight="1">
      <c r="A56" s="41" t="s">
        <v>698</v>
      </c>
      <c r="B56" s="42" t="s">
        <v>725</v>
      </c>
      <c r="C56" s="37">
        <v>4</v>
      </c>
    </row>
    <row r="57" spans="1:3" ht="27" customHeight="1">
      <c r="A57" s="41" t="s">
        <v>709</v>
      </c>
      <c r="B57" s="42" t="s">
        <v>522</v>
      </c>
      <c r="C57" s="37">
        <v>2</v>
      </c>
    </row>
    <row r="58" spans="1:3" ht="27" customHeight="1">
      <c r="A58" s="41" t="s">
        <v>682</v>
      </c>
      <c r="B58" s="42" t="s">
        <v>534</v>
      </c>
      <c r="C58" s="37">
        <v>3</v>
      </c>
    </row>
    <row r="59" spans="1:3" ht="27" customHeight="1">
      <c r="A59" s="41" t="s">
        <v>684</v>
      </c>
      <c r="B59" s="42" t="s">
        <v>534</v>
      </c>
      <c r="C59" s="37">
        <v>2</v>
      </c>
    </row>
    <row r="60" spans="1:3" ht="27" customHeight="1">
      <c r="A60" s="41" t="s">
        <v>686</v>
      </c>
      <c r="B60" s="42" t="s">
        <v>534</v>
      </c>
      <c r="C60" s="37">
        <v>2</v>
      </c>
    </row>
    <row r="61" spans="1:3" ht="27" customHeight="1">
      <c r="A61" s="41" t="s">
        <v>687</v>
      </c>
      <c r="B61" s="42" t="s">
        <v>597</v>
      </c>
      <c r="C61" s="37">
        <v>3</v>
      </c>
    </row>
    <row r="62" spans="1:3" ht="27" customHeight="1">
      <c r="A62" s="41" t="s">
        <v>688</v>
      </c>
      <c r="B62" s="42" t="s">
        <v>597</v>
      </c>
      <c r="C62" s="37">
        <v>4</v>
      </c>
    </row>
    <row r="63" spans="1:3" ht="27" customHeight="1">
      <c r="A63" s="39"/>
      <c r="B63" s="39"/>
      <c r="C63" s="37"/>
    </row>
    <row r="64" spans="1:3" ht="27" customHeight="1">
      <c r="A64" s="61" t="s">
        <v>294</v>
      </c>
      <c r="B64" s="61"/>
      <c r="C64" s="43">
        <f>SUM(C42:C62)</f>
        <v>70</v>
      </c>
    </row>
    <row r="65" spans="1:3" ht="27" customHeight="1">
      <c r="A65" s="62" t="s">
        <v>295</v>
      </c>
      <c r="B65" s="62"/>
      <c r="C65" s="44">
        <f>SUM(C2:C62)</f>
        <v>150</v>
      </c>
    </row>
    <row r="66" spans="1:3" ht="27" customHeight="1">
      <c r="A66" s="39"/>
      <c r="B66" s="39"/>
      <c r="C66" s="39"/>
    </row>
    <row r="67" spans="1:3" ht="27" customHeight="1">
      <c r="A67" s="59" t="s">
        <v>726</v>
      </c>
      <c r="B67" s="59"/>
      <c r="C67" s="59"/>
    </row>
    <row r="68" spans="1:3" ht="27" customHeight="1">
      <c r="A68" s="59"/>
      <c r="B68" s="59"/>
      <c r="C68" s="59"/>
    </row>
    <row r="69" spans="1:3" ht="27" customHeight="1">
      <c r="A69" s="59"/>
      <c r="B69" s="59"/>
      <c r="C69" s="59"/>
    </row>
    <row r="70" spans="1:3" ht="27" customHeight="1">
      <c r="A70" s="59"/>
      <c r="B70" s="59"/>
      <c r="C70" s="59"/>
    </row>
    <row r="71" spans="1:3" ht="27" customHeight="1"/>
    <row r="72" spans="1:3" ht="27" customHeight="1"/>
    <row r="73" spans="1:3" ht="27" customHeight="1"/>
    <row r="74" spans="1:3" ht="27" customHeight="1"/>
    <row r="75" spans="1:3" ht="27" customHeight="1"/>
    <row r="76" spans="1:3" ht="27" customHeight="1"/>
    <row r="77" spans="1:3" ht="27" customHeight="1"/>
    <row r="78" spans="1:3" ht="27" customHeight="1"/>
    <row r="79" spans="1:3" ht="27" customHeight="1"/>
    <row r="80" spans="1:3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</sheetData>
  <mergeCells count="3">
    <mergeCell ref="A64:B64"/>
    <mergeCell ref="A65:B65"/>
    <mergeCell ref="A67:C70"/>
  </mergeCells>
  <phoneticPr fontId="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2B9CD-BE7D-4E48-BB56-3DC006A4B209}">
  <dimension ref="A1:C88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4" customWidth="1"/>
    <col min="2" max="2" width="62" customWidth="1"/>
    <col min="3" max="3" width="12" customWidth="1"/>
  </cols>
  <sheetData>
    <row r="1" spans="1:3" ht="30" customHeight="1">
      <c r="A1" s="40" t="s">
        <v>257</v>
      </c>
      <c r="B1" s="40" t="s">
        <v>258</v>
      </c>
      <c r="C1" s="40" t="s">
        <v>259</v>
      </c>
    </row>
    <row r="2" spans="1:3" ht="27" customHeight="1">
      <c r="A2" s="41" t="s">
        <v>260</v>
      </c>
      <c r="B2" s="42" t="s">
        <v>354</v>
      </c>
      <c r="C2" s="37">
        <v>2</v>
      </c>
    </row>
    <row r="3" spans="1:3" ht="27" customHeight="1">
      <c r="A3" s="41" t="s">
        <v>261</v>
      </c>
      <c r="B3" s="42" t="s">
        <v>362</v>
      </c>
      <c r="C3" s="37">
        <v>2</v>
      </c>
    </row>
    <row r="4" spans="1:3" ht="27" customHeight="1">
      <c r="A4" s="41" t="s">
        <v>262</v>
      </c>
      <c r="B4" s="42" t="s">
        <v>362</v>
      </c>
      <c r="C4" s="37">
        <v>2</v>
      </c>
    </row>
    <row r="5" spans="1:3" ht="27" customHeight="1">
      <c r="A5" s="41" t="s">
        <v>263</v>
      </c>
      <c r="B5" s="42" t="s">
        <v>369</v>
      </c>
      <c r="C5" s="37">
        <v>2</v>
      </c>
    </row>
    <row r="6" spans="1:3" ht="27" customHeight="1">
      <c r="A6" s="41" t="s">
        <v>264</v>
      </c>
      <c r="B6" s="42" t="s">
        <v>369</v>
      </c>
      <c r="C6" s="37">
        <v>2</v>
      </c>
    </row>
    <row r="7" spans="1:3" ht="27" customHeight="1">
      <c r="A7" s="41" t="s">
        <v>265</v>
      </c>
      <c r="B7" s="42" t="s">
        <v>369</v>
      </c>
      <c r="C7" s="37">
        <v>2</v>
      </c>
    </row>
    <row r="8" spans="1:3" ht="27" customHeight="1">
      <c r="A8" s="41" t="s">
        <v>266</v>
      </c>
      <c r="B8" s="42" t="s">
        <v>381</v>
      </c>
      <c r="C8" s="37">
        <v>2</v>
      </c>
    </row>
    <row r="9" spans="1:3" ht="27" customHeight="1">
      <c r="A9" s="41" t="s">
        <v>267</v>
      </c>
      <c r="B9" s="42" t="s">
        <v>392</v>
      </c>
      <c r="C9" s="37">
        <v>2</v>
      </c>
    </row>
    <row r="10" spans="1:3" ht="27" customHeight="1">
      <c r="A10" s="41" t="s">
        <v>268</v>
      </c>
      <c r="B10" s="42" t="s">
        <v>392</v>
      </c>
      <c r="C10" s="37">
        <v>2</v>
      </c>
    </row>
    <row r="11" spans="1:3" ht="27" customHeight="1">
      <c r="A11" s="41" t="s">
        <v>269</v>
      </c>
      <c r="B11" s="42" t="s">
        <v>404</v>
      </c>
      <c r="C11" s="37">
        <v>2</v>
      </c>
    </row>
    <row r="12" spans="1:3" ht="27" customHeight="1">
      <c r="A12" s="41" t="s">
        <v>270</v>
      </c>
      <c r="B12" s="42" t="s">
        <v>404</v>
      </c>
      <c r="C12" s="37">
        <v>2</v>
      </c>
    </row>
    <row r="13" spans="1:3" ht="27" customHeight="1">
      <c r="A13" s="41" t="s">
        <v>271</v>
      </c>
      <c r="B13" s="42" t="s">
        <v>418</v>
      </c>
      <c r="C13" s="37">
        <v>2</v>
      </c>
    </row>
    <row r="14" spans="1:3" ht="27" customHeight="1">
      <c r="A14" s="41" t="s">
        <v>272</v>
      </c>
      <c r="B14" s="42" t="s">
        <v>727</v>
      </c>
      <c r="C14" s="37">
        <v>2</v>
      </c>
    </row>
    <row r="15" spans="1:3" ht="27" customHeight="1">
      <c r="A15" s="41" t="s">
        <v>274</v>
      </c>
      <c r="B15" s="42" t="s">
        <v>434</v>
      </c>
      <c r="C15" s="37">
        <v>2</v>
      </c>
    </row>
    <row r="16" spans="1:3" ht="27" customHeight="1">
      <c r="A16" s="41" t="s">
        <v>276</v>
      </c>
      <c r="B16" s="42" t="s">
        <v>453</v>
      </c>
      <c r="C16" s="37">
        <v>2</v>
      </c>
    </row>
    <row r="17" spans="1:3" ht="27" customHeight="1">
      <c r="A17" s="41" t="s">
        <v>277</v>
      </c>
      <c r="B17" s="42" t="s">
        <v>453</v>
      </c>
      <c r="C17" s="37">
        <v>2</v>
      </c>
    </row>
    <row r="18" spans="1:3" ht="27" customHeight="1">
      <c r="A18" s="41" t="s">
        <v>279</v>
      </c>
      <c r="B18" s="42" t="s">
        <v>463</v>
      </c>
      <c r="C18" s="37">
        <v>2</v>
      </c>
    </row>
    <row r="19" spans="1:3" ht="27" customHeight="1">
      <c r="A19" s="41" t="s">
        <v>303</v>
      </c>
      <c r="B19" s="42" t="s">
        <v>728</v>
      </c>
      <c r="C19" s="37">
        <v>2</v>
      </c>
    </row>
    <row r="20" spans="1:3" ht="27" customHeight="1">
      <c r="A20" s="41" t="s">
        <v>318</v>
      </c>
      <c r="B20" s="42" t="s">
        <v>463</v>
      </c>
      <c r="C20" s="37">
        <v>2</v>
      </c>
    </row>
    <row r="21" spans="1:3" ht="27" customHeight="1">
      <c r="A21" s="41" t="s">
        <v>327</v>
      </c>
      <c r="B21" s="42" t="s">
        <v>479</v>
      </c>
      <c r="C21" s="37">
        <v>2</v>
      </c>
    </row>
    <row r="22" spans="1:3" ht="27" customHeight="1">
      <c r="A22" s="41" t="s">
        <v>287</v>
      </c>
      <c r="B22" s="42" t="s">
        <v>479</v>
      </c>
      <c r="C22" s="37">
        <v>2</v>
      </c>
    </row>
    <row r="23" spans="1:3" ht="27" customHeight="1">
      <c r="A23" s="41" t="s">
        <v>329</v>
      </c>
      <c r="B23" s="42" t="s">
        <v>479</v>
      </c>
      <c r="C23" s="37">
        <v>2</v>
      </c>
    </row>
    <row r="24" spans="1:3" ht="27" customHeight="1">
      <c r="A24" s="41" t="s">
        <v>330</v>
      </c>
      <c r="B24" s="42" t="s">
        <v>500</v>
      </c>
      <c r="C24" s="37">
        <v>2</v>
      </c>
    </row>
    <row r="25" spans="1:3" ht="27" customHeight="1">
      <c r="A25" s="41" t="s">
        <v>332</v>
      </c>
      <c r="B25" s="42" t="s">
        <v>489</v>
      </c>
      <c r="C25" s="37">
        <v>2</v>
      </c>
    </row>
    <row r="26" spans="1:3" ht="27" customHeight="1">
      <c r="A26" s="41" t="s">
        <v>337</v>
      </c>
      <c r="B26" s="42" t="s">
        <v>522</v>
      </c>
      <c r="C26" s="37">
        <v>2</v>
      </c>
    </row>
    <row r="27" spans="1:3" ht="27" customHeight="1">
      <c r="A27" s="41" t="s">
        <v>338</v>
      </c>
      <c r="B27" s="42" t="s">
        <v>534</v>
      </c>
      <c r="C27" s="37">
        <v>2</v>
      </c>
    </row>
    <row r="28" spans="1:3" ht="27" customHeight="1">
      <c r="A28" s="41" t="s">
        <v>339</v>
      </c>
      <c r="B28" s="42" t="s">
        <v>500</v>
      </c>
      <c r="C28" s="37">
        <v>2</v>
      </c>
    </row>
    <row r="29" spans="1:3" ht="27" customHeight="1">
      <c r="A29" s="41" t="s">
        <v>652</v>
      </c>
      <c r="B29" s="42" t="s">
        <v>489</v>
      </c>
      <c r="C29" s="37">
        <v>2</v>
      </c>
    </row>
    <row r="30" spans="1:3" ht="27" customHeight="1">
      <c r="A30" s="41" t="s">
        <v>653</v>
      </c>
      <c r="B30" s="42" t="s">
        <v>717</v>
      </c>
      <c r="C30" s="37">
        <v>2</v>
      </c>
    </row>
    <row r="31" spans="1:3" ht="27" customHeight="1">
      <c r="A31" s="41" t="s">
        <v>654</v>
      </c>
      <c r="B31" s="42" t="s">
        <v>534</v>
      </c>
      <c r="C31" s="37">
        <v>2</v>
      </c>
    </row>
    <row r="32" spans="1:3" ht="27" customHeight="1">
      <c r="A32" s="41" t="s">
        <v>655</v>
      </c>
      <c r="B32" s="42" t="s">
        <v>534</v>
      </c>
      <c r="C32" s="37">
        <v>2</v>
      </c>
    </row>
    <row r="33" spans="1:3" ht="27" customHeight="1">
      <c r="A33" s="41" t="s">
        <v>656</v>
      </c>
      <c r="B33" s="42" t="s">
        <v>549</v>
      </c>
      <c r="C33" s="37">
        <v>2</v>
      </c>
    </row>
    <row r="34" spans="1:3" ht="27" customHeight="1">
      <c r="A34" s="41" t="s">
        <v>657</v>
      </c>
      <c r="B34" s="42" t="s">
        <v>561</v>
      </c>
      <c r="C34" s="37">
        <v>2</v>
      </c>
    </row>
    <row r="35" spans="1:3" ht="27" customHeight="1">
      <c r="A35" s="41" t="s">
        <v>659</v>
      </c>
      <c r="B35" s="42" t="s">
        <v>568</v>
      </c>
      <c r="C35" s="37">
        <v>2</v>
      </c>
    </row>
    <row r="36" spans="1:3" ht="27" customHeight="1">
      <c r="A36" s="41" t="s">
        <v>660</v>
      </c>
      <c r="B36" s="42" t="s">
        <v>578</v>
      </c>
      <c r="C36" s="37">
        <v>2</v>
      </c>
    </row>
    <row r="37" spans="1:3" ht="27" customHeight="1">
      <c r="A37" s="41" t="s">
        <v>661</v>
      </c>
      <c r="B37" s="42" t="s">
        <v>597</v>
      </c>
      <c r="C37" s="37">
        <v>2</v>
      </c>
    </row>
    <row r="38" spans="1:3" ht="27" customHeight="1">
      <c r="A38" s="41" t="s">
        <v>662</v>
      </c>
      <c r="B38" s="42" t="s">
        <v>597</v>
      </c>
      <c r="C38" s="37">
        <v>2</v>
      </c>
    </row>
    <row r="39" spans="1:3" ht="27" customHeight="1">
      <c r="A39" s="41" t="s">
        <v>664</v>
      </c>
      <c r="B39" s="42" t="s">
        <v>597</v>
      </c>
      <c r="C39" s="37">
        <v>2</v>
      </c>
    </row>
    <row r="40" spans="1:3" ht="27" customHeight="1">
      <c r="A40" s="41" t="s">
        <v>665</v>
      </c>
      <c r="B40" s="42" t="s">
        <v>623</v>
      </c>
      <c r="C40" s="37">
        <v>2</v>
      </c>
    </row>
    <row r="41" spans="1:3" ht="27" customHeight="1">
      <c r="A41" s="41" t="s">
        <v>666</v>
      </c>
      <c r="B41" s="42" t="s">
        <v>634</v>
      </c>
      <c r="C41" s="37">
        <v>2</v>
      </c>
    </row>
    <row r="42" spans="1:3" ht="27" customHeight="1">
      <c r="A42" s="41" t="s">
        <v>667</v>
      </c>
      <c r="B42" s="42" t="s">
        <v>369</v>
      </c>
      <c r="C42" s="37">
        <v>5</v>
      </c>
    </row>
    <row r="43" spans="1:3" ht="27" customHeight="1">
      <c r="A43" s="41" t="s">
        <v>668</v>
      </c>
      <c r="B43" s="42" t="s">
        <v>369</v>
      </c>
      <c r="C43" s="37">
        <v>10</v>
      </c>
    </row>
    <row r="44" spans="1:3" ht="27" customHeight="1">
      <c r="A44" s="41" t="s">
        <v>670</v>
      </c>
      <c r="B44" s="42" t="s">
        <v>381</v>
      </c>
      <c r="C44" s="37">
        <v>4</v>
      </c>
    </row>
    <row r="45" spans="1:3" ht="27" customHeight="1">
      <c r="A45" s="41" t="s">
        <v>671</v>
      </c>
      <c r="B45" s="42" t="s">
        <v>381</v>
      </c>
      <c r="C45" s="37">
        <v>1</v>
      </c>
    </row>
    <row r="46" spans="1:3" ht="27" customHeight="1">
      <c r="A46" s="41" t="s">
        <v>672</v>
      </c>
      <c r="B46" s="42" t="s">
        <v>381</v>
      </c>
      <c r="C46" s="37">
        <v>3</v>
      </c>
    </row>
    <row r="47" spans="1:3" ht="27" customHeight="1">
      <c r="A47" s="41" t="s">
        <v>674</v>
      </c>
      <c r="B47" s="42" t="s">
        <v>424</v>
      </c>
      <c r="C47" s="37">
        <v>3</v>
      </c>
    </row>
    <row r="48" spans="1:3" ht="27" customHeight="1">
      <c r="A48" s="41" t="s">
        <v>675</v>
      </c>
      <c r="B48" s="42" t="s">
        <v>424</v>
      </c>
      <c r="C48" s="37">
        <v>3</v>
      </c>
    </row>
    <row r="49" spans="1:3" ht="27" customHeight="1">
      <c r="A49" s="41" t="s">
        <v>676</v>
      </c>
      <c r="B49" s="42" t="s">
        <v>424</v>
      </c>
      <c r="C49" s="37">
        <v>2</v>
      </c>
    </row>
    <row r="50" spans="1:3" ht="27" customHeight="1">
      <c r="A50" s="41" t="s">
        <v>677</v>
      </c>
      <c r="B50" s="42" t="s">
        <v>424</v>
      </c>
      <c r="C50" s="37">
        <v>2</v>
      </c>
    </row>
    <row r="51" spans="1:3" ht="27" customHeight="1">
      <c r="A51" s="41" t="s">
        <v>694</v>
      </c>
      <c r="B51" s="42" t="s">
        <v>424</v>
      </c>
      <c r="C51" s="37">
        <v>3</v>
      </c>
    </row>
    <row r="52" spans="1:3" ht="27" customHeight="1">
      <c r="A52" s="41" t="s">
        <v>678</v>
      </c>
      <c r="B52" s="42" t="s">
        <v>453</v>
      </c>
      <c r="C52" s="37">
        <v>2</v>
      </c>
    </row>
    <row r="53" spans="1:3" ht="27" customHeight="1">
      <c r="A53" s="41" t="s">
        <v>679</v>
      </c>
      <c r="B53" s="42" t="s">
        <v>453</v>
      </c>
      <c r="C53" s="37">
        <v>2</v>
      </c>
    </row>
    <row r="54" spans="1:3" ht="27" customHeight="1">
      <c r="A54" s="41" t="s">
        <v>696</v>
      </c>
      <c r="B54" s="42" t="s">
        <v>424</v>
      </c>
      <c r="C54" s="37">
        <v>3</v>
      </c>
    </row>
    <row r="55" spans="1:3" ht="27" customHeight="1">
      <c r="A55" s="41" t="s">
        <v>702</v>
      </c>
      <c r="B55" s="42" t="s">
        <v>424</v>
      </c>
      <c r="C55" s="37">
        <v>3</v>
      </c>
    </row>
    <row r="56" spans="1:3" ht="27" customHeight="1">
      <c r="A56" s="41" t="s">
        <v>697</v>
      </c>
      <c r="B56" s="42" t="s">
        <v>522</v>
      </c>
      <c r="C56" s="37">
        <v>2</v>
      </c>
    </row>
    <row r="57" spans="1:3" ht="27" customHeight="1">
      <c r="A57" s="41" t="s">
        <v>698</v>
      </c>
      <c r="B57" s="42" t="s">
        <v>522</v>
      </c>
      <c r="C57" s="37">
        <v>2</v>
      </c>
    </row>
    <row r="58" spans="1:3" ht="27" customHeight="1">
      <c r="A58" s="41" t="s">
        <v>709</v>
      </c>
      <c r="B58" s="42" t="s">
        <v>705</v>
      </c>
      <c r="C58" s="37">
        <v>3</v>
      </c>
    </row>
    <row r="59" spans="1:3" ht="27" customHeight="1">
      <c r="A59" s="41" t="s">
        <v>711</v>
      </c>
      <c r="B59" s="42" t="s">
        <v>500</v>
      </c>
      <c r="C59" s="37">
        <v>8</v>
      </c>
    </row>
    <row r="60" spans="1:3" ht="27" customHeight="1">
      <c r="A60" s="41" t="s">
        <v>687</v>
      </c>
      <c r="B60" s="42" t="s">
        <v>578</v>
      </c>
      <c r="C60" s="37">
        <v>2</v>
      </c>
    </row>
    <row r="61" spans="1:3" ht="27" customHeight="1">
      <c r="A61" s="41" t="s">
        <v>688</v>
      </c>
      <c r="B61" s="42" t="s">
        <v>578</v>
      </c>
      <c r="C61" s="37">
        <v>3</v>
      </c>
    </row>
    <row r="62" spans="1:3" ht="27" customHeight="1">
      <c r="A62" s="41" t="s">
        <v>689</v>
      </c>
      <c r="B62" s="42" t="s">
        <v>578</v>
      </c>
      <c r="C62" s="37">
        <v>2</v>
      </c>
    </row>
    <row r="63" spans="1:3" ht="27" customHeight="1">
      <c r="A63" s="41" t="s">
        <v>699</v>
      </c>
      <c r="B63" s="42" t="s">
        <v>578</v>
      </c>
      <c r="C63" s="37">
        <v>2</v>
      </c>
    </row>
    <row r="64" spans="1:3" ht="27" customHeight="1">
      <c r="A64" s="39"/>
      <c r="B64" s="39"/>
      <c r="C64" s="37"/>
    </row>
    <row r="65" spans="1:3" ht="27" customHeight="1">
      <c r="A65" s="61" t="s">
        <v>294</v>
      </c>
      <c r="B65" s="61"/>
      <c r="C65" s="43">
        <f>SUM(C42:C63)</f>
        <v>70</v>
      </c>
    </row>
    <row r="66" spans="1:3" ht="27" customHeight="1">
      <c r="A66" s="62" t="s">
        <v>295</v>
      </c>
      <c r="B66" s="62"/>
      <c r="C66" s="44">
        <f>SUM(C2:C63)</f>
        <v>150</v>
      </c>
    </row>
    <row r="67" spans="1:3" ht="27" customHeight="1">
      <c r="A67" s="39"/>
      <c r="B67" s="39"/>
      <c r="C67" s="39"/>
    </row>
    <row r="68" spans="1:3" ht="27" customHeight="1">
      <c r="A68" s="59" t="s">
        <v>729</v>
      </c>
      <c r="B68" s="59"/>
      <c r="C68" s="59"/>
    </row>
    <row r="69" spans="1:3" ht="27" customHeight="1">
      <c r="A69" s="59"/>
      <c r="B69" s="59"/>
      <c r="C69" s="59"/>
    </row>
    <row r="70" spans="1:3" ht="27" customHeight="1">
      <c r="A70" s="59"/>
      <c r="B70" s="59"/>
      <c r="C70" s="59"/>
    </row>
    <row r="71" spans="1:3" ht="27" customHeight="1">
      <c r="A71" s="59"/>
      <c r="B71" s="59"/>
      <c r="C71" s="59"/>
    </row>
    <row r="72" spans="1:3" ht="27" customHeight="1"/>
    <row r="73" spans="1:3" ht="27" customHeight="1"/>
    <row r="74" spans="1:3" ht="27" customHeight="1"/>
    <row r="75" spans="1:3" ht="27" customHeight="1"/>
    <row r="76" spans="1:3" ht="27" customHeight="1"/>
    <row r="77" spans="1:3" ht="27" customHeight="1"/>
    <row r="78" spans="1:3" ht="27" customHeight="1"/>
    <row r="79" spans="1:3" ht="27" customHeight="1"/>
    <row r="80" spans="1:3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</sheetData>
  <mergeCells count="3">
    <mergeCell ref="A65:B65"/>
    <mergeCell ref="A66:B66"/>
    <mergeCell ref="A68:C7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38</vt:i4>
      </vt:variant>
    </vt:vector>
  </HeadingPairs>
  <TitlesOfParts>
    <vt:vector size="38" baseType="lpstr">
      <vt:lpstr>数学-分数面板</vt:lpstr>
      <vt:lpstr>408-分数面板</vt:lpstr>
      <vt:lpstr>数学-小节得分-2025</vt:lpstr>
      <vt:lpstr>数学-小节得分-2024</vt:lpstr>
      <vt:lpstr>数学-小节得分-2023</vt:lpstr>
      <vt:lpstr>数学-小节得分-2022</vt:lpstr>
      <vt:lpstr>数学-小节得分-2021</vt:lpstr>
      <vt:lpstr>数学-小节得分-2020</vt:lpstr>
      <vt:lpstr>数学-小节得分-2019</vt:lpstr>
      <vt:lpstr>数学-小节得分-2018</vt:lpstr>
      <vt:lpstr>数学-小节得分-2017</vt:lpstr>
      <vt:lpstr>数学-小节得分-2016</vt:lpstr>
      <vt:lpstr>数学-考点分布-2017</vt:lpstr>
      <vt:lpstr>数学-考点分布-2020</vt:lpstr>
      <vt:lpstr>数学-考点分布-2021</vt:lpstr>
      <vt:lpstr>数学-考点分布-2022</vt:lpstr>
      <vt:lpstr>数学-考点分布-2023</vt:lpstr>
      <vt:lpstr>数学-考点分布-2024</vt:lpstr>
      <vt:lpstr>数学-考点分布-2025</vt:lpstr>
      <vt:lpstr>408-小节得分-2025</vt:lpstr>
      <vt:lpstr>408-小节得分-2024</vt:lpstr>
      <vt:lpstr>408-小节得分-2023</vt:lpstr>
      <vt:lpstr>408-小节得分-2022</vt:lpstr>
      <vt:lpstr>408-小节得分-2021</vt:lpstr>
      <vt:lpstr>408-小节得分-2020</vt:lpstr>
      <vt:lpstr>408-小节得分-2019</vt:lpstr>
      <vt:lpstr>408-小节得分-2018</vt:lpstr>
      <vt:lpstr>408-小节得分-2017</vt:lpstr>
      <vt:lpstr>408-小节得分-2016</vt:lpstr>
      <vt:lpstr>408-考点分布-2025</vt:lpstr>
      <vt:lpstr>408-考点分布-2024</vt:lpstr>
      <vt:lpstr>408-考点分布-2023</vt:lpstr>
      <vt:lpstr>408-考点分布-2022</vt:lpstr>
      <vt:lpstr>408-考点分布-2021</vt:lpstr>
      <vt:lpstr>408-考点分布-2020</vt:lpstr>
      <vt:lpstr>408-考点分布-2019</vt:lpstr>
      <vt:lpstr>408-考点分布-2018</vt:lpstr>
      <vt:lpstr>408-考点分布-2017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liu</cp:lastModifiedBy>
  <dcterms:modified xsi:type="dcterms:W3CDTF">2026-10-01T04:08:04Z</dcterms:modified>
</cp:coreProperties>
</file>